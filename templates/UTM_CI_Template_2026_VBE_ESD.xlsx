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I_Template" sheetId="1" r:id="rId4"/>
    <sheet state="visible" name="CI_Template_New" sheetId="2" r:id="rId5"/>
    <sheet state="visible" name="CI Checklist" sheetId="3" r:id="rId6"/>
    <sheet state="visible" name="CI_Explanation" sheetId="4" r:id="rId7"/>
    <sheet state="hidden" name="Course_Index" sheetId="5" r:id="rId8"/>
  </sheets>
  <definedNames/>
  <calcPr/>
  <extLst>
    <ext uri="GoogleSheetsCustomDataVersion2">
      <go:sheetsCustomData xmlns:go="http://customooxmlschemas.google.com/" r:id="rId9" roundtripDataChecksum="sKq/cYgPr3R6cJAsq56woJMk4VJWW65+qMeqAJZec5Q="/>
    </ext>
  </extLst>
</workbook>
</file>

<file path=xl/sharedStrings.xml><?xml version="1.0" encoding="utf-8"?>
<sst xmlns="http://schemas.openxmlformats.org/spreadsheetml/2006/main" count="525" uniqueCount="206">
  <si>
    <t>Check No.</t>
  </si>
  <si>
    <t>COURSE INFORMATION</t>
  </si>
  <si>
    <t>Review Item</t>
  </si>
  <si>
    <t>Status</t>
  </si>
  <si>
    <t>School/Faculty:</t>
  </si>
  <si>
    <t>Key Findings / Remarks</t>
  </si>
  <si>
    <t xml:space="preserve">Program name matches the approved programme title </t>
  </si>
  <si>
    <t>Faculty of Computing</t>
  </si>
  <si>
    <t>Academic Session/Semester must change to 20262027/2</t>
  </si>
  <si>
    <t>Compulsory</t>
  </si>
  <si>
    <t>Program name:</t>
  </si>
  <si>
    <t>Bachelor in Software Engineering with Honours</t>
  </si>
  <si>
    <r>
      <rPr>
        <rFont val="Calibri"/>
        <color theme="1"/>
        <sz val="9.0"/>
      </rPr>
      <t xml:space="preserve">Course Synopsis must follow the prescribed format:
</t>
    </r>
    <r>
      <rPr>
        <rFont val="Calibri"/>
        <b/>
        <color theme="1"/>
        <sz val="9.0"/>
      </rPr>
      <t>Course Overview (1–2 sentences)
Main Topics / Content Coverage (2–4 sentences)
Learning Approach or Pedagogy (1 sentence)
Learning Outcomes Summary (1–2 sentences)</t>
    </r>
  </si>
  <si>
    <t>Course code:</t>
  </si>
  <si>
    <t>All CLOs specify Bloom's Taxonomy Level 4 or above</t>
  </si>
  <si>
    <t>SCSE2133</t>
  </si>
  <si>
    <r>
      <rPr>
        <rFont val="Calibri"/>
        <color theme="1"/>
        <sz val="9.0"/>
      </rPr>
      <t xml:space="preserve">CLO statements use measurable action verbs aligned with the specified Bloom's Taxonomy level.
</t>
    </r>
    <r>
      <rPr>
        <rFont val="Calibri"/>
        <b/>
        <color theme="1"/>
        <sz val="9.0"/>
      </rPr>
      <t>C3: Apply, Demonstrate, Execute, Implement, Solve, Use</t>
    </r>
    <r>
      <rPr>
        <rFont val="Calibri"/>
        <color theme="1"/>
        <sz val="9.0"/>
      </rPr>
      <t xml:space="preserve">
</t>
    </r>
    <r>
      <rPr>
        <rFont val="Calibri"/>
        <b/>
        <color theme="1"/>
        <sz val="9.0"/>
      </rPr>
      <t>C4: Analyze, Differentiate, Compare, Examine, Investigate
C5: Evaluate, Critique, Justify, Assess, Defend
C6: Design, Develop, Construct, Formulate, Create</t>
    </r>
  </si>
  <si>
    <t xml:space="preserve">Academic Session/Semester:   </t>
  </si>
  <si>
    <t>Assessment methods are aligned with the CLOs, PLOs, and taxonomy levels</t>
  </si>
  <si>
    <t>2026 2027 1</t>
  </si>
  <si>
    <t>Course name:</t>
  </si>
  <si>
    <t>Innovative Teaching &amp; Learning practices describe all T&amp;L methods specified in the CLO mapping</t>
  </si>
  <si>
    <t>Software Process and Project Management</t>
  </si>
  <si>
    <t>Pre/co requisite (course name and code, if applicable):</t>
  </si>
  <si>
    <t>Credit hours:</t>
  </si>
  <si>
    <r>
      <rPr>
        <rFont val="Calibri"/>
        <color theme="1"/>
        <sz val="9.0"/>
      </rPr>
      <t xml:space="preserve">Transferable Skills are aligned with any CLO that has generic skills mapped to PLO4–PLO9 in the CLOs
</t>
    </r>
    <r>
      <rPr>
        <rFont val="Calibri"/>
        <i/>
        <color theme="1"/>
        <sz val="9.0"/>
      </rPr>
      <t>For eg, map to PLO8 and PLO10, write what kind of skills student could gain. Eg: Able to collaboratively working in team and demonstrate entrpreneurial idea in Agile-based project.</t>
    </r>
  </si>
  <si>
    <t>Total Face-to-Face (F2F) learning hours equal 42 hours</t>
  </si>
  <si>
    <t>Course synopsis</t>
  </si>
  <si>
    <t>Assessment components are consistent with assessment methods specified in the CLO mapping</t>
  </si>
  <si>
    <t>Summative assessment weightage is at least 40% for PG courses, and at least 30% for UG courses.</t>
  </si>
  <si>
    <r>
      <rPr>
        <rFont val="Calibri"/>
        <color rgb="FF0432FF"/>
        <sz val="8.0"/>
      </rPr>
      <t xml:space="preserve">This course provides an intermediate-level introduction to Software Project Management (SPM), with a focus on agile methodologies. </t>
    </r>
    <r>
      <rPr>
        <rFont val="Calibri"/>
        <color rgb="FFFF00FF"/>
        <sz val="8.0"/>
      </rPr>
      <t xml:space="preserve">It covers fundamental concepts, challenges, and management controls in SPM, followed by agile principles such as project identification, analysis, planning, documentation, and user stories. </t>
    </r>
    <r>
      <rPr>
        <rFont val="Calibri"/>
        <color rgb="FF0432FF"/>
        <sz val="8.0"/>
      </rPr>
      <t xml:space="preserve">Students explore frameworks including the Dynamic Systems Development Method (DSDM), Scrum, Kanban, and Scrumban, together with practices such as MoSCoW prioritisation, timeboxing, and daily stand-ups. The DSDM life cycle, from pre-project to post-project phases, is examined alongside agile planning, control, and testing concepts. </t>
    </r>
    <r>
      <rPr>
        <rFont val="Calibri"/>
        <color rgb="FFFF00FF"/>
        <sz val="8.0"/>
      </rPr>
      <t xml:space="preserve">Through lectures, hands-on labs, and industry-based case studies, students apply systems thinking to analyse work-based projects as complex systems by examining the interrelationships among project tasks, resources, and time constraints considerations. </t>
    </r>
    <r>
      <rPr>
        <rFont val="Calibri"/>
        <color rgb="FF0432FF"/>
        <sz val="8.0"/>
      </rPr>
      <t xml:space="preserve">The course also cultivates integrity through trustworthy, responsible, and accountable conduct in teamwork, while encouraging an entrepreneurial mindset in enhancing work-based projects. </t>
    </r>
    <r>
      <rPr>
        <rFont val="Calibri"/>
        <color rgb="FFFF00FF"/>
        <sz val="8.0"/>
      </rPr>
      <t>By the end of the course, students will be able to apply SPM principles, analyse complex project interrelationships, develop agile project plans, adapt appropriate agile frameworks and practices, collaborate with integrity, and propose value-driven improvements for successful and sustainable software projects.</t>
    </r>
  </si>
  <si>
    <t>References include at least one source published between 2023–2026</t>
  </si>
  <si>
    <t xml:space="preserve">Approval section is signed and dated -  30 August 2026 </t>
  </si>
  <si>
    <t>Example: This course introduces the fundamental concepts and principles of human resource development (HRD), focusing on both theoretical and practical aspects. Students will explore topics such as employee training, career development, performance management, and organizational learning. The course emphasizes contemporary HRD strategies, tools, and evaluation methods applicable across various industries. Teaching methods include interactive lectures, case analyses, and group projects. By the end of the course, students will be able to design and assess HRD interventions that align with organizational goals.</t>
  </si>
  <si>
    <t>Course coordinator (if applicable)</t>
  </si>
  <si>
    <t>If any, VBE applies to CLO #?
VBE Criteria - ?</t>
  </si>
  <si>
    <t>If any, ESD applies to CLO #?
ESD Criteria - ?</t>
  </si>
  <si>
    <t>Course lecturer(s)</t>
  </si>
  <si>
    <r>
      <rPr>
        <rFont val="Calibri"/>
        <b/>
        <color rgb="FF0432FF"/>
        <sz val="8.0"/>
      </rPr>
      <t>Outline for Course Synopsis</t>
    </r>
    <r>
      <rPr>
        <rFont val="Calibri"/>
        <color rgb="FF0432FF"/>
        <sz val="8.0"/>
      </rPr>
      <t xml:space="preserve">
</t>
    </r>
    <r>
      <rPr>
        <rFont val="Calibri"/>
        <b/>
        <color rgb="FF0432FF"/>
        <sz val="8.0"/>
      </rPr>
      <t>Course Overview (1–2 sentences)</t>
    </r>
    <r>
      <rPr>
        <rFont val="Calibri"/>
        <color rgb="FF0432FF"/>
        <sz val="8.0"/>
      </rPr>
      <t xml:space="preserve">
A brief, general description of the course. Indicate whether the course is foundational, intermediate, or advanced.
</t>
    </r>
    <r>
      <rPr>
        <rFont val="Calibri"/>
        <b/>
        <color rgb="FF0432FF"/>
        <sz val="8.0"/>
      </rPr>
      <t>Main Topics / Content Coverage (2–4 sentences)</t>
    </r>
    <r>
      <rPr>
        <rFont val="Calibri"/>
        <color rgb="FF0432FF"/>
        <sz val="8.0"/>
      </rPr>
      <t xml:space="preserve">
Summarize the key areas or topics covered in the course.
</t>
    </r>
    <r>
      <rPr>
        <rFont val="Calibri"/>
        <b/>
        <color rgb="FF0432FF"/>
        <sz val="8.0"/>
      </rPr>
      <t>Learning Approach or Pedagogy (1 sentence)</t>
    </r>
    <r>
      <rPr>
        <rFont val="Calibri"/>
        <color rgb="FF0432FF"/>
        <sz val="8.0"/>
      </rPr>
      <t xml:space="preserve">
Describe how the course is taught (e.g., lectures, labs, case-based, project-driven). Mention if there's an emphasis on problem-solving, collaboration, or hands-on work.
</t>
    </r>
    <r>
      <rPr>
        <rFont val="Calibri"/>
        <b/>
        <color rgb="FF0432FF"/>
        <sz val="8.0"/>
      </rPr>
      <t>Learning Outcomes Summary (1–2 sentences)</t>
    </r>
    <r>
      <rPr>
        <rFont val="Calibri"/>
        <color rgb="FF0432FF"/>
        <sz val="8.0"/>
      </rPr>
      <t xml:space="preserve">
Broadly state what students are expected to achieve or be able to do upon completion. Use action-oriented language aligned with Bloom’s Taxonomy (e.g., analyze, design, evaluate).
</t>
    </r>
    <r>
      <rPr>
        <rFont val="Calibri"/>
        <color rgb="FF000000"/>
        <sz val="8.0"/>
      </rPr>
      <t>This course provides an intermediate-level introduction to Software Project Management (SPM) with a focus on agile methodologies. It covers fundamental concepts, challenges, and management controls in SPM, followed by agile principles such as project identification, analysis, planning, documentation, and user stories. Students explore frameworks including the Dynamic Systems Development Method (DSDM), Scrum, Kanban, and Scrumban, along with project management tools and practices like MoSCoW prioritization, timeboxing, and daily stand-ups. The DSDM life cycle from pre-project to post-project phases is examined in detail, alongside agile planning, control, and testing concepts. Taught through lectures, hands-on labs, and industry-based case studies, the course emphasizes collaboration, problem-solving, and project-driven learning. By the end, students will be able to analyze and apply SPM principles, design agile project plans, evaluate and adapt agile frameworks, and implement effective prioritization and time management strategies to deliver successful software projects.</t>
    </r>
    <r>
      <rPr>
        <rFont val="Calibri"/>
        <color rgb="FF0432FF"/>
        <sz val="8.0"/>
      </rPr>
      <t xml:space="preserve">
</t>
    </r>
  </si>
  <si>
    <t>Name</t>
  </si>
  <si>
    <t>Office</t>
  </si>
  <si>
    <t>Contact no.</t>
  </si>
  <si>
    <t>E-mail</t>
  </si>
  <si>
    <t>Description of CI</t>
  </si>
  <si>
    <t>Mapping of the Course Learning Outcomes (CLO) to the Programme Learning Outcomes (PLO), Teaching &amp; Learning (T&amp;L) methods and Assessment methods:</t>
  </si>
  <si>
    <t>No.</t>
  </si>
  <si>
    <r>
      <rPr>
        <rFont val="Calibri (Body)"/>
        <b/>
        <color theme="1"/>
        <sz val="8.0"/>
        <vertAlign val="superscript"/>
      </rPr>
      <t>1</t>
    </r>
    <r>
      <rPr>
        <rFont val="Calibri"/>
        <b/>
        <color theme="1"/>
        <sz val="8.0"/>
      </rPr>
      <t>CLO</t>
    </r>
  </si>
  <si>
    <r>
      <rPr>
        <rFont val="Calibri (Body)"/>
        <b/>
        <color theme="1"/>
        <sz val="8.0"/>
        <vertAlign val="superscript"/>
      </rPr>
      <t>1</t>
    </r>
    <r>
      <rPr>
        <rFont val="Calibri"/>
        <b/>
        <color theme="1"/>
        <sz val="8.0"/>
      </rPr>
      <t>CLO</t>
    </r>
  </si>
  <si>
    <r>
      <rPr>
        <rFont val="Calibri"/>
        <b/>
        <color rgb="FF000000"/>
        <sz val="8.0"/>
      </rPr>
      <t xml:space="preserve">PLO    
</t>
    </r>
    <r>
      <rPr>
        <rFont val="Calibri (Body)"/>
        <b/>
        <color rgb="FF000000"/>
        <sz val="8.0"/>
        <vertAlign val="superscript"/>
      </rPr>
      <t>2</t>
    </r>
    <r>
      <rPr>
        <rFont val="Calibri"/>
        <b/>
        <color rgb="FF000000"/>
        <sz val="8.0"/>
      </rPr>
      <t>(MQF Cluster Code)</t>
    </r>
  </si>
  <si>
    <r>
      <rPr>
        <rFont val="Calibri"/>
        <b/>
        <color rgb="FF000000"/>
        <sz val="8.0"/>
      </rPr>
      <t xml:space="preserve">PLO    
</t>
    </r>
    <r>
      <rPr>
        <rFont val="Calibri (Body)"/>
        <b/>
        <color rgb="FF000000"/>
        <sz val="8.0"/>
        <vertAlign val="superscript"/>
      </rPr>
      <t>2</t>
    </r>
    <r>
      <rPr>
        <rFont val="Calibri"/>
        <b/>
        <color rgb="FF000000"/>
        <sz val="8.0"/>
      </rPr>
      <t>(MQF Cluster Code)</t>
    </r>
  </si>
  <si>
    <t>3Taxonomies
 &amp;
 4Graduate attributes</t>
  </si>
  <si>
    <r>
      <rPr>
        <rFont val="Calibri (Body)"/>
        <b/>
        <color theme="1"/>
        <sz val="8.0"/>
        <vertAlign val="superscript"/>
      </rPr>
      <t>3</t>
    </r>
    <r>
      <rPr>
        <rFont val="Calibri"/>
        <b/>
        <color theme="1"/>
        <sz val="8.0"/>
      </rPr>
      <t xml:space="preserve">Taxonomies
&amp;
</t>
    </r>
    <r>
      <rPr>
        <rFont val="Calibri (Body)"/>
        <b/>
        <color theme="1"/>
        <sz val="8.0"/>
        <vertAlign val="superscript"/>
      </rPr>
      <t>4</t>
    </r>
    <r>
      <rPr>
        <rFont val="Calibri"/>
        <b/>
        <color theme="1"/>
        <sz val="8.0"/>
      </rPr>
      <t>Graduate attributes</t>
    </r>
  </si>
  <si>
    <r>
      <rPr>
        <rFont val="Calibri (Body)"/>
        <b/>
        <color theme="1"/>
        <sz val="8.0"/>
        <vertAlign val="superscript"/>
      </rPr>
      <t>5</t>
    </r>
    <r>
      <rPr>
        <rFont val="Calibri"/>
        <b/>
        <color theme="1"/>
        <sz val="8.0"/>
      </rPr>
      <t>ESD</t>
    </r>
  </si>
  <si>
    <t>5ESD, A &amp; F</t>
  </si>
  <si>
    <t>6VBE</t>
  </si>
  <si>
    <r>
      <rPr>
        <rFont val="Calibri (Body)"/>
        <b/>
        <color theme="1"/>
        <sz val="8.0"/>
        <vertAlign val="superscript"/>
      </rPr>
      <t>6</t>
    </r>
    <r>
      <rPr>
        <rFont val="Calibri"/>
        <b/>
        <color theme="1"/>
        <sz val="8.0"/>
      </rPr>
      <t>VBE</t>
    </r>
  </si>
  <si>
    <t>T&amp;L methods</t>
  </si>
  <si>
    <r>
      <rPr>
        <rFont val="Calibri (Body)"/>
        <b/>
        <color theme="1"/>
        <sz val="8.0"/>
        <vertAlign val="superscript"/>
      </rPr>
      <t>7</t>
    </r>
    <r>
      <rPr>
        <rFont val="Calibri"/>
        <b/>
        <color theme="1"/>
        <sz val="8.0"/>
      </rPr>
      <t>Assessment 
methods</t>
    </r>
  </si>
  <si>
    <r>
      <rPr>
        <rFont val="Calibri (Body)"/>
        <b/>
        <color theme="1"/>
        <sz val="8.0"/>
        <vertAlign val="superscript"/>
      </rPr>
      <t>7</t>
    </r>
    <r>
      <rPr>
        <rFont val="Calibri"/>
        <b/>
        <color theme="1"/>
        <sz val="8.0"/>
      </rPr>
      <t>Assessment 
methods</t>
    </r>
  </si>
  <si>
    <t>CLO1</t>
  </si>
  <si>
    <t>Apply the concept correctly for software project planning and controlling in software process and project management.</t>
  </si>
  <si>
    <t>PLO1 
(C1)</t>
  </si>
  <si>
    <t>C3
(SC1)</t>
  </si>
  <si>
    <t>Active Learning</t>
  </si>
  <si>
    <t>Quiz (5%), 
Mid-Term Test (10%),
 FE (5%)</t>
  </si>
  <si>
    <r>
      <rPr>
        <rFont val="Calibri"/>
        <color rgb="FF0432FF"/>
        <sz val="10.0"/>
      </rPr>
      <t xml:space="preserve">When writing Course Learning Outcomes (CLOs), each outcome must align with the relevant Program Learning Outcomes (PLOs) and </t>
    </r>
    <r>
      <rPr>
        <rFont val="Calibri"/>
        <b/>
        <color rgb="FF0432FF"/>
        <sz val="10.0"/>
      </rPr>
      <t>explicitly reflect the sustainability competencies</t>
    </r>
    <r>
      <rPr>
        <rFont val="Calibri"/>
        <color rgb="FF0432FF"/>
        <sz val="10.0"/>
      </rPr>
      <t xml:space="preserve"> selected, such as System Thinking, Anticipatory Thinking, Normative, Strategic Thinking, Collaboration, Critical Thinking, Self-Awareness, Integrated Problem Solving, Adaptability, and Flexibility, in accordance with the Malaysian Qualifications Framework (MQF) clusters of learning outcomes. CLOs must be formulated using specific and measurable action verbs from Bloom’s Taxonomy at the appropriate cognitive, psychomotor, or affective level, and must follow the SMART principle—specific, measurable, achievable, relevant, and time-bound—so that they are observable and assessable within the course duration. Each course should ideally have three to five CLOs, avoiding vague or non-measurable verbs, and ensuring constructive alignment with both teaching and learning activities as well as assessment strategies.</t>
    </r>
  </si>
  <si>
    <r>
      <rPr>
        <rFont val="Calibri"/>
        <color rgb="FF0432FF"/>
        <sz val="10.0"/>
      </rPr>
      <t xml:space="preserve">When writing Course Learning Outcomes (CLOs), each outcome must align with the relevant Program Learning Outcomes (PLOs) and </t>
    </r>
    <r>
      <rPr>
        <rFont val="Calibri"/>
        <b/>
        <color rgb="FF0432FF"/>
        <sz val="10.0"/>
      </rPr>
      <t>explicitly reflect the sustainability competencies</t>
    </r>
    <r>
      <rPr>
        <rFont val="Calibri"/>
        <color rgb="FF0432FF"/>
        <sz val="10.0"/>
      </rPr>
      <t xml:space="preserve"> selected, such as System Thinking, Anticipatory Thinking, Normative, Strategic Thinking, Collaboration, Critical Thinking, Self-Awareness, Integrated Problem Solving, Adaptability, and Flexibility, in accordance with the Malaysian Qualifications Framework (MQF) clusters of learning outcomes. CLOs must be formulated using specific and measurable action verbs from Bloom’s Taxonomy at the appropriate cognitive, psychomotor, or affective level, and must follow the SMART principle—specific, measurable, achievable, relevant, and time-bound—so that they are observable and assessable within the course duration. Each course should ideally have three to five CLOs, avoiding vague or non-measurable verbs, and ensuring constructive alignment with both teaching and learning activities as well as assessment strategies.</t>
    </r>
  </si>
  <si>
    <t>CLO2</t>
  </si>
  <si>
    <t xml:space="preserve">Classify proficiently work-based projects, including effective and strategic planning and control.
</t>
  </si>
  <si>
    <t xml:space="preserve">Classify proficiently work-based projects, including effective planning and control.
</t>
  </si>
  <si>
    <t>CI_Template</t>
  </si>
  <si>
    <t>PLO2
(C2)</t>
  </si>
  <si>
    <t>C4
(SC2)</t>
  </si>
  <si>
    <t>STT</t>
  </si>
  <si>
    <t>Course_Index</t>
  </si>
  <si>
    <t>Active Learning, 
PBL, Work 
Based Learning (WBL)</t>
  </si>
  <si>
    <r>
      <rPr>
        <rFont val="Calibri"/>
        <color theme="1"/>
        <sz val="10.0"/>
      </rPr>
      <t xml:space="preserve">Mid-Term Test (5%), FE (25%), 
Project Assignment 1 (10%),
Project Assignment 2 (5%), 
</t>
    </r>
    <r>
      <rPr>
        <rFont val="Calibri"/>
        <color rgb="FF0000FF"/>
        <sz val="10.0"/>
      </rPr>
      <t>Project Assignment 3 (15%)</t>
    </r>
  </si>
  <si>
    <t>CLO3</t>
  </si>
  <si>
    <t>Course Name</t>
  </si>
  <si>
    <t>Demonstrate integrity while working effectively with others to accomplish a work-based project</t>
  </si>
  <si>
    <t>%SLT Online</t>
  </si>
  <si>
    <t>PLO8
(C3F)</t>
  </si>
  <si>
    <t>Status Pembelajaran
Teradun Gantian, PTG (if %SLT Online = 30% -79%,
then the course is PTG)</t>
  </si>
  <si>
    <t>A4
(CC2)</t>
  </si>
  <si>
    <r>
      <rPr>
        <rFont val="Calibri"/>
        <color theme="1"/>
        <sz val="10.0"/>
      </rPr>
      <t xml:space="preserve">Mid-Term Test (5%), FE (25%), 
Project Assignment 1 (10%),
Project Assignment 2 (5%), 
</t>
    </r>
    <r>
      <rPr>
        <rFont val="Calibri"/>
        <color rgb="FFFF0000"/>
        <sz val="10.0"/>
      </rPr>
      <t>Project Assignment 3 (15%)</t>
    </r>
  </si>
  <si>
    <t>Integrity</t>
  </si>
  <si>
    <t>Demonstrate rapport, interact and work effectively with others to accomplish work-based project</t>
  </si>
  <si>
    <t>Active Learning,
 PBL, WBL</t>
  </si>
  <si>
    <r>
      <rPr>
        <rFont val="Calibri"/>
        <color rgb="FF0000FF"/>
        <sz val="10.0"/>
      </rPr>
      <t>4 Teamworking</t>
    </r>
    <r>
      <rPr>
        <rFont val="Calibri"/>
        <color rgb="FFFF0000"/>
        <sz val="10.0"/>
      </rPr>
      <t xml:space="preserve"> </t>
    </r>
    <r>
      <rPr>
        <rFont val="Calibri"/>
        <color theme="1"/>
        <sz val="10.0"/>
      </rPr>
      <t>x Project Assignment (10%)</t>
    </r>
  </si>
  <si>
    <t>CLO4</t>
  </si>
  <si>
    <t xml:space="preserve">Demonstrate entrepreneurial mindset in enhancing work-based projects </t>
  </si>
  <si>
    <t>PLO10 
(C4B)</t>
  </si>
  <si>
    <t>A3
(ES5)</t>
  </si>
  <si>
    <r>
      <rPr>
        <rFont val="Calibri"/>
        <color rgb="FFFF0000"/>
        <sz val="10.0"/>
      </rPr>
      <t xml:space="preserve">4 Teamworking </t>
    </r>
    <r>
      <rPr>
        <rFont val="Calibri"/>
        <color theme="1"/>
        <sz val="10.0"/>
      </rPr>
      <t>x Project Assignment (10%)</t>
    </r>
  </si>
  <si>
    <t>Active Learning, 
PBL, WBL</t>
  </si>
  <si>
    <t>Project Assignment 4 (10%)</t>
  </si>
  <si>
    <t>CI_Explanation</t>
  </si>
  <si>
    <t>Example_SHPP 2102</t>
  </si>
  <si>
    <t>Programming Language 3</t>
  </si>
  <si>
    <t>CLO*</t>
  </si>
  <si>
    <t xml:space="preserve">PLO **(MQF Cluster code)
</t>
  </si>
  <si>
    <t xml:space="preserve">***Taxonomies
and
****Graduate attributes
</t>
  </si>
  <si>
    <t>*****Assessment methods</t>
  </si>
  <si>
    <r>
      <rPr>
        <rFont val="Calibri"/>
        <color theme="1"/>
        <sz val="11.0"/>
      </rPr>
      <t xml:space="preserve">This is the basic mapping required for the CI. Any added information is allowed (extra columns for weight or other elements) provided this is made consistent for all CI at program/school/faculty level. 
</t>
    </r>
    <r>
      <rPr>
        <rFont val="Arial"/>
        <b/>
        <color theme="1"/>
        <sz val="11.0"/>
      </rPr>
      <t>1</t>
    </r>
    <r>
      <rPr>
        <rFont val="Calibri"/>
        <b/>
        <color theme="1"/>
        <sz val="11.0"/>
      </rPr>
      <t>Up to 5 CLO</t>
    </r>
    <r>
      <rPr>
        <rFont val="Calibri"/>
        <color theme="1"/>
        <sz val="11.0"/>
      </rPr>
      <t xml:space="preserve">
</t>
    </r>
    <r>
      <rPr>
        <rFont val="Calibri"/>
        <b/>
        <color theme="1"/>
        <sz val="11.0"/>
      </rPr>
      <t>2MQF Cluster Code</t>
    </r>
    <r>
      <rPr>
        <rFont val="Calibri"/>
        <color theme="1"/>
        <sz val="11.0"/>
      </rPr>
      <t xml:space="preserve">
C1 = Knowledge &amp; Understanding, C2 = Cognitive Skills, C3A = Practical Skills, C3B = Interpersonal Skills, C3C= Communication Skills, C3D = Digital Skills, C3E = Numercy Skills, C3F = Leadership, Autonomy &amp; Responsibility, C4A = Personal Skills, C4B = Enterpreneurial Skills, C5 = Ethics &amp; Professionalism
</t>
    </r>
    <r>
      <rPr>
        <rFont val="Calibri"/>
        <b/>
        <color theme="1"/>
        <sz val="11.0"/>
      </rPr>
      <t>3Taxonomies of Learning Domain</t>
    </r>
    <r>
      <rPr>
        <rFont val="Calibri"/>
        <color theme="1"/>
        <sz val="11.0"/>
      </rPr>
      <t xml:space="preserve"> and 4UTM’s Graduate Attributes for measurement of outcomes achievement
</t>
    </r>
    <r>
      <rPr>
        <rFont val="Calibri"/>
        <b/>
        <color theme="1"/>
        <sz val="11.0"/>
      </rPr>
      <t>5Education for Sustainable Development (ESD), Flexibility (F) &amp; Adaptability (A)</t>
    </r>
    <r>
      <rPr>
        <rFont val="Calibri"/>
        <color theme="1"/>
        <sz val="11.0"/>
      </rPr>
      <t xml:space="preserve">
Systems Thinking (ST); Anticipatory Thinking (AT); Normative (N); Strategic Thinking (STT); Collaboration (C); Critical Thinking (CT); Self-Awareness (SA; Integrated Problem Solving (IPS)
</t>
    </r>
    <r>
      <rPr>
        <rFont val="Calibri"/>
        <b/>
        <color theme="1"/>
        <sz val="11.0"/>
      </rPr>
      <t>6Value-Based Education (VBE)</t>
    </r>
    <r>
      <rPr>
        <rFont val="Calibri"/>
        <color theme="1"/>
        <sz val="11.0"/>
      </rPr>
      <t xml:space="preserve">
Integrity; Synergy; Excellence; Sustainability
</t>
    </r>
    <r>
      <rPr>
        <rFont val="Arial"/>
        <b/>
        <color theme="1"/>
        <sz val="11.0"/>
      </rPr>
      <t>7</t>
    </r>
    <r>
      <rPr>
        <rFont val="Calibri"/>
        <color theme="1"/>
        <sz val="11.0"/>
      </rPr>
      <t xml:space="preserve">T – Test; Q – Quiz; HW – Homework; Asg – Assignment; PR – Project; Pr – Presentation; F – Final Exam etc. </t>
    </r>
    <r>
      <rPr>
        <rFont val="Arial"/>
        <color rgb="FF0432FF"/>
        <sz val="11.0"/>
      </rPr>
      <t>Please specify only the related type of assessment.</t>
    </r>
    <r>
      <rPr>
        <rFont val="Calibri"/>
        <color theme="1"/>
        <sz val="11.0"/>
      </rPr>
      <t xml:space="preserve">
</t>
    </r>
  </si>
  <si>
    <r>
      <rPr>
        <rFont val="Calibri"/>
        <color theme="1"/>
        <sz val="11.0"/>
      </rPr>
      <t xml:space="preserve">This is the basic mapping required for the CI. Any added information is allowed (extra columns for weight or other elements) provided this is made consistent for all CI at program/school/faculty level. 
</t>
    </r>
    <r>
      <rPr>
        <rFont val="Calibri (Body)"/>
        <b/>
        <color theme="1"/>
        <sz val="11.0"/>
        <vertAlign val="superscript"/>
      </rPr>
      <t>1</t>
    </r>
    <r>
      <rPr>
        <rFont val="Calibri"/>
        <b/>
        <color theme="1"/>
        <sz val="11.0"/>
      </rPr>
      <t>Up to 5 CLO</t>
    </r>
    <r>
      <rPr>
        <rFont val="Calibri"/>
        <color theme="1"/>
        <sz val="11.0"/>
      </rPr>
      <t xml:space="preserve">
</t>
    </r>
    <r>
      <rPr>
        <rFont val="Calibri (Body)"/>
        <b/>
        <color theme="1"/>
        <sz val="11.0"/>
        <vertAlign val="superscript"/>
      </rPr>
      <t>2</t>
    </r>
    <r>
      <rPr>
        <rFont val="Calibri"/>
        <b/>
        <color theme="1"/>
        <sz val="11.0"/>
      </rPr>
      <t>MQF Cluster Code</t>
    </r>
    <r>
      <rPr>
        <rFont val="Calibri"/>
        <color theme="1"/>
        <sz val="11.0"/>
      </rPr>
      <t xml:space="preserve">
</t>
    </r>
    <r>
      <rPr>
        <rFont val="Calibri"/>
        <b/>
        <color theme="1"/>
        <sz val="11.0"/>
      </rPr>
      <t>C1</t>
    </r>
    <r>
      <rPr>
        <rFont val="Calibri"/>
        <color theme="1"/>
        <sz val="11.0"/>
      </rPr>
      <t xml:space="preserve"> = Knowledge &amp; Understanding, </t>
    </r>
    <r>
      <rPr>
        <rFont val="Calibri"/>
        <b/>
        <color theme="1"/>
        <sz val="11.0"/>
      </rPr>
      <t>C2</t>
    </r>
    <r>
      <rPr>
        <rFont val="Calibri"/>
        <color theme="1"/>
        <sz val="11.0"/>
      </rPr>
      <t xml:space="preserve"> = Cognitive Skills, </t>
    </r>
    <r>
      <rPr>
        <rFont val="Calibri"/>
        <b/>
        <color theme="1"/>
        <sz val="11.0"/>
      </rPr>
      <t>C3A</t>
    </r>
    <r>
      <rPr>
        <rFont val="Calibri"/>
        <color theme="1"/>
        <sz val="11.0"/>
      </rPr>
      <t xml:space="preserve"> = Practical Skills, </t>
    </r>
    <r>
      <rPr>
        <rFont val="Calibri"/>
        <b/>
        <color theme="1"/>
        <sz val="11.0"/>
      </rPr>
      <t>C3B</t>
    </r>
    <r>
      <rPr>
        <rFont val="Calibri"/>
        <color theme="1"/>
        <sz val="11.0"/>
      </rPr>
      <t xml:space="preserve"> = Interpersonal Skills, </t>
    </r>
    <r>
      <rPr>
        <rFont val="Calibri"/>
        <b/>
        <color theme="1"/>
        <sz val="11.0"/>
      </rPr>
      <t>C3C</t>
    </r>
    <r>
      <rPr>
        <rFont val="Calibri"/>
        <color theme="1"/>
        <sz val="11.0"/>
      </rPr>
      <t xml:space="preserve">= Communication Skills, </t>
    </r>
    <r>
      <rPr>
        <rFont val="Calibri"/>
        <b/>
        <color theme="1"/>
        <sz val="11.0"/>
      </rPr>
      <t>C3D</t>
    </r>
    <r>
      <rPr>
        <rFont val="Calibri"/>
        <color theme="1"/>
        <sz val="11.0"/>
      </rPr>
      <t xml:space="preserve"> = Digital Skills, </t>
    </r>
    <r>
      <rPr>
        <rFont val="Calibri"/>
        <b/>
        <color theme="1"/>
        <sz val="11.0"/>
      </rPr>
      <t>C3E</t>
    </r>
    <r>
      <rPr>
        <rFont val="Calibri"/>
        <color theme="1"/>
        <sz val="11.0"/>
      </rPr>
      <t xml:space="preserve"> = Numercy Skills, </t>
    </r>
    <r>
      <rPr>
        <rFont val="Calibri"/>
        <b/>
        <color theme="1"/>
        <sz val="11.0"/>
      </rPr>
      <t>C3F</t>
    </r>
    <r>
      <rPr>
        <rFont val="Calibri"/>
        <color theme="1"/>
        <sz val="11.0"/>
      </rPr>
      <t xml:space="preserve"> = Leadership, Autonomy &amp; Responsibility, </t>
    </r>
    <r>
      <rPr>
        <rFont val="Calibri"/>
        <b/>
        <color theme="1"/>
        <sz val="11.0"/>
      </rPr>
      <t>C4A</t>
    </r>
    <r>
      <rPr>
        <rFont val="Calibri"/>
        <color theme="1"/>
        <sz val="11.0"/>
      </rPr>
      <t xml:space="preserve"> = Personal Skills, </t>
    </r>
    <r>
      <rPr>
        <rFont val="Calibri"/>
        <b/>
        <color theme="1"/>
        <sz val="11.0"/>
      </rPr>
      <t>C4B</t>
    </r>
    <r>
      <rPr>
        <rFont val="Calibri"/>
        <color theme="1"/>
        <sz val="11.0"/>
      </rPr>
      <t xml:space="preserve"> = Enterpreneurial Skills, </t>
    </r>
    <r>
      <rPr>
        <rFont val="Calibri"/>
        <b/>
        <color theme="1"/>
        <sz val="11.0"/>
      </rPr>
      <t>C5</t>
    </r>
    <r>
      <rPr>
        <rFont val="Calibri"/>
        <color theme="1"/>
        <sz val="11.0"/>
      </rPr>
      <t xml:space="preserve"> = Ethics &amp; Professionalism
</t>
    </r>
    <r>
      <rPr>
        <rFont val="Calibri (Body)"/>
        <b/>
        <color theme="1"/>
        <sz val="11.0"/>
        <vertAlign val="superscript"/>
      </rPr>
      <t>3</t>
    </r>
    <r>
      <rPr>
        <rFont val="Calibri"/>
        <b/>
        <color theme="1"/>
        <sz val="11.0"/>
      </rPr>
      <t>Taxonomies of Learning Domain</t>
    </r>
    <r>
      <rPr>
        <rFont val="Calibri"/>
        <color theme="1"/>
        <sz val="11.0"/>
      </rPr>
      <t xml:space="preserve"> and </t>
    </r>
    <r>
      <rPr>
        <rFont val="Calibri (Body)"/>
        <b/>
        <color theme="1"/>
        <sz val="11.0"/>
        <vertAlign val="superscript"/>
      </rPr>
      <t>4</t>
    </r>
    <r>
      <rPr>
        <rFont val="Calibri"/>
        <b/>
        <color theme="1"/>
        <sz val="11.0"/>
      </rPr>
      <t>UTM’s Graduate Attributes</t>
    </r>
    <r>
      <rPr>
        <rFont val="Calibri"/>
        <color theme="1"/>
        <sz val="11.0"/>
      </rPr>
      <t xml:space="preserve"> for measurement of outcomes achievement
</t>
    </r>
    <r>
      <rPr>
        <rFont val="Calibri (Body)"/>
        <b/>
        <color theme="1"/>
        <sz val="11.0"/>
        <vertAlign val="superscript"/>
      </rPr>
      <t>5</t>
    </r>
    <r>
      <rPr>
        <rFont val="Calibri"/>
        <b/>
        <color theme="1"/>
        <sz val="11.0"/>
      </rPr>
      <t xml:space="preserve">Education for Sustainable Development (ESD)
</t>
    </r>
    <r>
      <rPr>
        <rFont val="Calibri"/>
        <color theme="1"/>
        <sz val="11.0"/>
      </rPr>
      <t xml:space="preserve">Systems Thinking (ST); Anticipatory Thinking (AT); Normative (N); Strategic Thinking (STT); Collaboration (C); Critical Thinking (CT); Self-Awareness (SA; Integrated Problem Solving (IPS)
</t>
    </r>
    <r>
      <rPr>
        <rFont val="Calibri (Body)"/>
        <b/>
        <color theme="1"/>
        <sz val="11.0"/>
        <vertAlign val="superscript"/>
      </rPr>
      <t>7</t>
    </r>
    <r>
      <rPr>
        <rFont val="Calibri"/>
        <b/>
        <color theme="1"/>
        <sz val="11.0"/>
      </rPr>
      <t xml:space="preserve">Value-Based Education (VBE)
</t>
    </r>
    <r>
      <rPr>
        <rFont val="Calibri"/>
        <color theme="1"/>
        <sz val="11.0"/>
      </rPr>
      <t xml:space="preserve">Integrity; Synergy; Excellence; Sustainability 
</t>
    </r>
    <r>
      <rPr>
        <rFont val="Calibri (Body)"/>
        <b/>
        <color theme="1"/>
        <sz val="11.0"/>
        <vertAlign val="superscript"/>
      </rPr>
      <t>7</t>
    </r>
    <r>
      <rPr>
        <rFont val="Calibri"/>
        <color theme="1"/>
        <sz val="11.0"/>
      </rPr>
      <t xml:space="preserve">T – Test; Q – Quiz; HW – Homework; Asg – Assignment; PR – Project; Pr – Presentation; F – Final Exam etc. </t>
    </r>
    <r>
      <rPr>
        <rFont val="Calibri (Body)"/>
        <color rgb="FF0432FF"/>
        <sz val="11.0"/>
      </rPr>
      <t>Please specify only the related type of assessment.</t>
    </r>
    <r>
      <rPr>
        <rFont val="Calibri"/>
        <color theme="1"/>
        <sz val="11.0"/>
      </rPr>
      <t xml:space="preserve">
</t>
    </r>
  </si>
  <si>
    <t>Details on Innovative T&amp;L practices:</t>
  </si>
  <si>
    <t>Type</t>
  </si>
  <si>
    <t>Implementation</t>
  </si>
  <si>
    <t>This is the basic mapping required for the CI. Any added information is allowed (extra columns for weight or other elements) provided this is made consistent for all CI at program/school/faculty level. 
*Up to 5 CLO
Refer ***Taxonomies of Learning and ****UTM’s Graduate Attributes for measurement of outcomes achievement
*****T – Test; Q – Quiz; HW – Homework; Asg – Assignment; PR – Project; Pr – Presentation; F – Final Exam etc.</t>
  </si>
  <si>
    <t>Transferable skills (generic skills learning in course of study which can be useful and utilised in other settings) :</t>
  </si>
  <si>
    <t>Student learning time (SLT) / Effective Learning Time (ELT) details:</t>
  </si>
  <si>
    <t>Week/  Meeting</t>
  </si>
  <si>
    <r>
      <rPr>
        <rFont val="Calibri"/>
        <b/>
        <color theme="1"/>
        <sz val="9.0"/>
      </rPr>
      <t>**MQF Cluster Code
C1</t>
    </r>
    <r>
      <rPr>
        <rFont val="Calibri"/>
        <color theme="1"/>
        <sz val="9.0"/>
      </rPr>
      <t xml:space="preserve"> = Knowledge &amp; Understanding, </t>
    </r>
    <r>
      <rPr>
        <rFont val="Calibri"/>
        <b/>
        <color theme="1"/>
        <sz val="9.0"/>
      </rPr>
      <t>C2</t>
    </r>
    <r>
      <rPr>
        <rFont val="Calibri"/>
        <color theme="1"/>
        <sz val="9.0"/>
      </rPr>
      <t xml:space="preserve"> = Cognitive Skills, </t>
    </r>
    <r>
      <rPr>
        <rFont val="Calibri"/>
        <b/>
        <color theme="1"/>
        <sz val="9.0"/>
      </rPr>
      <t>C3A</t>
    </r>
    <r>
      <rPr>
        <rFont val="Calibri"/>
        <color theme="1"/>
        <sz val="9.0"/>
      </rPr>
      <t xml:space="preserve"> = Interpersonal Skills, </t>
    </r>
    <r>
      <rPr>
        <rFont val="Calibri"/>
        <b/>
        <color theme="1"/>
        <sz val="9.0"/>
      </rPr>
      <t>C3B</t>
    </r>
    <r>
      <rPr>
        <rFont val="Calibri"/>
        <color theme="1"/>
        <sz val="9.0"/>
      </rPr>
      <t xml:space="preserve"> = Interpersonal Skills, </t>
    </r>
    <r>
      <rPr>
        <rFont val="Calibri"/>
        <b/>
        <color theme="1"/>
        <sz val="9.0"/>
      </rPr>
      <t>C3C</t>
    </r>
    <r>
      <rPr>
        <rFont val="Calibri"/>
        <color theme="1"/>
        <sz val="9.0"/>
      </rPr>
      <t xml:space="preserve">= Communication Skills, </t>
    </r>
    <r>
      <rPr>
        <rFont val="Calibri"/>
        <b/>
        <color theme="1"/>
        <sz val="9.0"/>
      </rPr>
      <t>C3D</t>
    </r>
    <r>
      <rPr>
        <rFont val="Calibri"/>
        <color theme="1"/>
        <sz val="9.0"/>
      </rPr>
      <t xml:space="preserve"> = Digital Skills, </t>
    </r>
    <r>
      <rPr>
        <rFont val="Calibri"/>
        <b/>
        <color theme="1"/>
        <sz val="9.0"/>
      </rPr>
      <t>C3E</t>
    </r>
    <r>
      <rPr>
        <rFont val="Calibri"/>
        <color theme="1"/>
        <sz val="9.0"/>
      </rPr>
      <t xml:space="preserve"> = Numercy Skills, </t>
    </r>
    <r>
      <rPr>
        <rFont val="Calibri"/>
        <b/>
        <color theme="1"/>
        <sz val="9.0"/>
      </rPr>
      <t>C3F</t>
    </r>
    <r>
      <rPr>
        <rFont val="Calibri"/>
        <color theme="1"/>
        <sz val="9.0"/>
      </rPr>
      <t xml:space="preserve"> = Leadership, Autonomy &amp; Responsibility, </t>
    </r>
    <r>
      <rPr>
        <rFont val="Calibri"/>
        <b/>
        <color theme="1"/>
        <sz val="9.0"/>
      </rPr>
      <t>C4A</t>
    </r>
    <r>
      <rPr>
        <rFont val="Calibri"/>
        <color theme="1"/>
        <sz val="9.0"/>
      </rPr>
      <t xml:space="preserve"> = Personal Skills, </t>
    </r>
    <r>
      <rPr>
        <rFont val="Calibri"/>
        <b/>
        <color theme="1"/>
        <sz val="9.0"/>
      </rPr>
      <t>C4B</t>
    </r>
    <r>
      <rPr>
        <rFont val="Calibri"/>
        <color theme="1"/>
        <sz val="9.0"/>
      </rPr>
      <t xml:space="preserve"> = Enterpreneurial Skills, </t>
    </r>
    <r>
      <rPr>
        <rFont val="Calibri"/>
        <b/>
        <color theme="1"/>
        <sz val="9.0"/>
      </rPr>
      <t>C5</t>
    </r>
    <r>
      <rPr>
        <rFont val="Calibri"/>
        <color theme="1"/>
        <sz val="9.0"/>
      </rPr>
      <t xml:space="preserve"> = Ethics &amp; Professionalism</t>
    </r>
  </si>
  <si>
    <t>Course Content Outline and Subtopics</t>
  </si>
  <si>
    <r>
      <rPr>
        <rFont val="Calibri"/>
        <b/>
        <color theme="1"/>
        <sz val="7.0"/>
      </rPr>
      <t xml:space="preserve">CLO* </t>
    </r>
    <r>
      <rPr>
        <rFont val="Calibri (Body)"/>
        <b/>
        <color rgb="FF0432FF"/>
        <sz val="7.0"/>
      </rPr>
      <t>Compulsory</t>
    </r>
    <r>
      <rPr>
        <rFont val="Calibri"/>
        <b/>
        <color theme="1"/>
        <sz val="7.0"/>
      </rPr>
      <t xml:space="preserve">								</t>
    </r>
  </si>
  <si>
    <r>
      <rPr>
        <rFont val="Calibri"/>
        <b/>
        <color theme="1"/>
        <sz val="7.0"/>
      </rPr>
      <t xml:space="preserve">CLO* </t>
    </r>
    <r>
      <rPr>
        <rFont val="Calibri (Body)"/>
        <b/>
        <color rgb="FF0432FF"/>
        <sz val="7.0"/>
      </rPr>
      <t>Compulsory</t>
    </r>
    <r>
      <rPr>
        <rFont val="Calibri"/>
        <b/>
        <color theme="1"/>
        <sz val="7.0"/>
      </rPr>
      <t xml:space="preserve">								</t>
    </r>
  </si>
  <si>
    <t>Learning and Teaching Activities</t>
  </si>
  <si>
    <t xml:space="preserve">TOTAL
SLT
</t>
  </si>
  <si>
    <t>Face-to-Face (F2F)</t>
  </si>
  <si>
    <t>Non F2F Independent Learning</t>
  </si>
  <si>
    <t>Physical</t>
  </si>
  <si>
    <t>Online (Synchronous)</t>
  </si>
  <si>
    <t>Online (Asynchronous)</t>
  </si>
  <si>
    <t>Others</t>
  </si>
  <si>
    <t>L</t>
  </si>
  <si>
    <t>T</t>
  </si>
  <si>
    <t>P</t>
  </si>
  <si>
    <t>O</t>
  </si>
  <si>
    <t>Week 1</t>
  </si>
  <si>
    <t>CLO?</t>
  </si>
  <si>
    <t>Ensure that each Course Learning Outcome (CLO) in the Student Learning Time (SLT) table aligns with the corresponding weekly topics and activities. Weekly topics must match the course content and teaching schedule. Indicate which CLO(s) are addressed each week, ensuring a progression that reflects the course's learning goals. This mapping should be consistent with previously stated CLOs and supported by appropriate teaching methods and assessments.</t>
  </si>
  <si>
    <t>Week 2</t>
  </si>
  <si>
    <t>Week 3</t>
  </si>
  <si>
    <t>Creativity and Innovation, Communication skills</t>
  </si>
  <si>
    <t>Week 4</t>
  </si>
  <si>
    <t>Week 5</t>
  </si>
  <si>
    <t>Week 6</t>
  </si>
  <si>
    <t>Week 7</t>
  </si>
  <si>
    <t>Week 8</t>
  </si>
  <si>
    <t>MID-SEM BREAK</t>
  </si>
  <si>
    <t>Week 9</t>
  </si>
  <si>
    <t>Week 10</t>
  </si>
  <si>
    <t>Week 11</t>
  </si>
  <si>
    <t>Week 12</t>
  </si>
  <si>
    <t>Week 13</t>
  </si>
  <si>
    <t>Week 14</t>
  </si>
  <si>
    <t>Week 15</t>
  </si>
  <si>
    <t>SUB-TOTAL SLT :</t>
  </si>
  <si>
    <t xml:space="preserve">Continous Assessment </t>
  </si>
  <si>
    <t>%</t>
  </si>
  <si>
    <t xml:space="preserve">NF2F
Independent Learning for Assessment </t>
  </si>
  <si>
    <t>TOTAL SLT</t>
  </si>
  <si>
    <t>Please ensure that all assessment information is consistent across the Mapping of Course Learning Outcomes (CLOs) to Programme Learning Outcomes (PLOs), Teaching and Learning (T&amp;L) methods, and Assessment methods. This includes the tables for continuous and final assessments. Each CLO should be clearly linked to the corresponding assessment methods and their breakdown. Specify the types of assessments used, such as quizzes, assignments, projects, presentations, and final exams. All assessments must be measurable, reflect the cognitive level of the CLOs, and maintain an appropriate balance between continuous and final components.</t>
  </si>
  <si>
    <t>Online 
(Synchronous)</t>
  </si>
  <si>
    <t>Quiz 1</t>
  </si>
  <si>
    <t>Assignment 1</t>
  </si>
  <si>
    <t>Assignment 2</t>
  </si>
  <si>
    <t>Assessment activities carried out during the semester to monitor student progress (e.g., quizzes, assignments, projects).</t>
  </si>
  <si>
    <t xml:space="preserve">Final Assessment </t>
  </si>
  <si>
    <t xml:space="preserve">NF2F
Independent Learning for Assessment 
</t>
  </si>
  <si>
    <t>Final Exam</t>
  </si>
  <si>
    <t>Assessment conducted at the end of the course to evaluate the achievement of overall learning outcomes (e.g., final exam, final project).</t>
  </si>
  <si>
    <t>SLT for Assessment:</t>
  </si>
  <si>
    <t>GRAND TOTAL SLT:</t>
  </si>
  <si>
    <t>A</t>
  </si>
  <si>
    <t xml:space="preserve">% SLT for F2F Physical Component
</t>
  </si>
  <si>
    <t>B</t>
  </si>
  <si>
    <t xml:space="preserve">% SLT for Online &amp; Independent Learning Component :
</t>
  </si>
  <si>
    <t xml:space="preserve">Summative Assessment </t>
  </si>
  <si>
    <t>C</t>
  </si>
  <si>
    <t xml:space="preserve">                                                        %SLT for Online Component:                                          </t>
  </si>
  <si>
    <t>30-79% = PTG</t>
  </si>
  <si>
    <t>D</t>
  </si>
  <si>
    <t>% SLT for All Practical Component:</t>
  </si>
  <si>
    <t>D1</t>
  </si>
  <si>
    <t>% SLT for F2F Physical Practical Component:</t>
  </si>
  <si>
    <t>D2</t>
  </si>
  <si>
    <r>
      <rPr>
        <rFont val="Calibri"/>
        <color theme="1"/>
        <sz val="11.0"/>
      </rPr>
      <t>% SLT for F2F Online Practical Component</t>
    </r>
    <r>
      <rPr>
        <rFont val="Calibri"/>
        <color rgb="FF2E75B5"/>
        <sz val="11.0"/>
      </rPr>
      <t>:</t>
    </r>
  </si>
  <si>
    <r>
      <rPr>
        <rFont val="Calibri"/>
        <color theme="1"/>
        <sz val="11.0"/>
      </rPr>
      <t>% SLT for F2F Online Practical Component</t>
    </r>
    <r>
      <rPr>
        <rFont val="Calibri"/>
        <color rgb="FF2E75B5"/>
        <sz val="11.0"/>
      </rPr>
      <t>:</t>
    </r>
  </si>
  <si>
    <t>Please tick (/) if this course is Industrial Training/ Clinical Placement/ Practicum using 50% of Effective Learning Time (ELT)</t>
  </si>
  <si>
    <t>Identify special requirement or resources to deliver the course (e.g.,software,nursery, computer lab, simulation room etc)</t>
  </si>
  <si>
    <t>References (include required and further readings, and should be the most current)</t>
  </si>
  <si>
    <t xml:space="preserve">Please include at least two to three recent references (published within the last five years) in the course information to support the relevance and currency of the course content. Ensure that the references are credible, up-to-date, and properly cited using a consistent referencing style (e.g., APA). </t>
  </si>
  <si>
    <t>Other additional information (if applicable)</t>
  </si>
  <si>
    <r>
      <rPr>
        <rFont val="Calibri"/>
        <b/>
        <color theme="1"/>
        <sz val="10.0"/>
      </rPr>
      <t xml:space="preserve">Academic honesty and plagiarism: </t>
    </r>
    <r>
      <rPr>
        <rFont val="Calibri"/>
        <b val="0"/>
        <i/>
        <color theme="1"/>
        <sz val="10.0"/>
      </rPr>
      <t>(Below is just a sample)</t>
    </r>
  </si>
  <si>
    <r>
      <rPr>
        <rFont val="Calibri"/>
        <b/>
        <color theme="1"/>
        <sz val="10.0"/>
      </rPr>
      <t xml:space="preserve">Academic honesty and plagiarism: </t>
    </r>
    <r>
      <rPr>
        <rFont val="Calibri"/>
        <b val="0"/>
        <i/>
        <color theme="1"/>
        <sz val="10.0"/>
      </rPr>
      <t>(Below is just a sample)</t>
    </r>
  </si>
  <si>
    <t>Assignments are individual tasks and NOT group activities (UNLESS EXPLICITLY INDICATED AS GROUP ACTIVITIES) 
Copying of work (texts, simulation results etc.) from other students/groups or from other sources is not allowed. Brief quotations are allowed and then only if indicated as such. Existing texts should be reformulated with your own words used to explain what you have read. It is not acceptable to retype existing texts and just acknowledge the source as a reference. Be warned: students who submit copied work will obtain a mark of zero for the assignment and disciplinary steps may be taken by the Faculty.  It is also unacceptable to do somebody else’s work, to lend your work to them or to make your work available to them to copy.</t>
  </si>
  <si>
    <r>
      <rPr>
        <rFont val="Calibri"/>
        <color theme="1"/>
        <sz val="9.0"/>
      </rPr>
      <t xml:space="preserve">% SLT for F2F Physical Component
</t>
    </r>
    <r>
      <rPr>
        <rFont val="Calibri"/>
        <color rgb="FF2E75B5"/>
        <sz val="9.0"/>
      </rPr>
      <t xml:space="preserve">[(Total F2F Physical)/(Total F2F Physical + </t>
    </r>
    <r>
      <rPr>
        <rFont val="Calibri"/>
        <color rgb="FF00B050"/>
        <sz val="9.0"/>
      </rPr>
      <t>Total F2F Online</t>
    </r>
    <r>
      <rPr>
        <rFont val="Calibri"/>
        <color rgb="FF2E75B5"/>
        <sz val="9.0"/>
      </rPr>
      <t xml:space="preserve"> + </t>
    </r>
    <r>
      <rPr>
        <rFont val="Calibri"/>
        <color rgb="FF7030A0"/>
        <sz val="9.0"/>
      </rPr>
      <t>Total Independent Learning</t>
    </r>
    <r>
      <rPr>
        <rFont val="Calibri"/>
        <color rgb="FF2E75B5"/>
        <sz val="9.0"/>
      </rPr>
      <t>) x 100)]</t>
    </r>
  </si>
  <si>
    <t>Disclaimer:</t>
  </si>
  <si>
    <t xml:space="preserve">All teaching and learning materials associated with this course are for personal use only. The materials are intended for educational purposes only. Reproduction of the materials in any form for any purposes other than what it is intended for is prohibited. 
While every effort has been made to ensure the accuracy of the information supplied herein, Universiti Teknologi Malaysia cannot be held responsible for any errors or omissions. </t>
  </si>
  <si>
    <t>ELT = (Theory + Industrial Guidance + Assessment) x 50%</t>
  </si>
  <si>
    <r>
      <rPr>
        <rFont val="Calibri"/>
        <color theme="1"/>
        <sz val="9.0"/>
      </rPr>
      <t xml:space="preserve">% SLT for Online &amp; Independent Learning Component :
</t>
    </r>
    <r>
      <rPr>
        <rFont val="Calibri"/>
        <color rgb="FF2E75B5"/>
        <sz val="9.0"/>
      </rPr>
      <t>[(</t>
    </r>
    <r>
      <rPr>
        <rFont val="Calibri"/>
        <color rgb="FF00B050"/>
        <sz val="9.0"/>
      </rPr>
      <t>Total F2F Online</t>
    </r>
    <r>
      <rPr>
        <rFont val="Calibri"/>
        <color rgb="FF2E75B5"/>
        <sz val="9.0"/>
      </rPr>
      <t>+</t>
    </r>
    <r>
      <rPr>
        <rFont val="Calibri"/>
        <color rgb="FF7030A0"/>
        <sz val="9.0"/>
      </rPr>
      <t>Total Independent Learning</t>
    </r>
    <r>
      <rPr>
        <rFont val="Calibri"/>
        <color rgb="FF2E75B5"/>
        <sz val="9.0"/>
      </rPr>
      <t>)/(Total F2F Physical+Total F2F Online+ Total Independent Learning) x 100]</t>
    </r>
  </si>
  <si>
    <t>Total of credit for LI/Practical = ELT/40 Notional Hours</t>
  </si>
  <si>
    <t>Note: For ODL Programme : Courses with mandatory practical requirement imposed by programme standards or any related standards can be exempted from complying to the minimum 80% ODL delivery rule in the SLT.</t>
  </si>
  <si>
    <t>Prepared by:</t>
  </si>
  <si>
    <t>Certified by:</t>
  </si>
  <si>
    <t>Compulsory. 
Signatures should be handwritten, not typed or styled with fonts.</t>
  </si>
  <si>
    <t>Name:</t>
  </si>
  <si>
    <r>
      <rPr>
        <rFont val="Calibri"/>
        <color theme="1"/>
        <sz val="9.0"/>
      </rPr>
      <t>%SLT for Online Component: [(</t>
    </r>
    <r>
      <rPr>
        <rFont val="Calibri"/>
        <color rgb="FF00B050"/>
        <sz val="9.0"/>
      </rPr>
      <t>Total F2F Online</t>
    </r>
    <r>
      <rPr>
        <rFont val="Calibri"/>
        <color theme="1"/>
        <sz val="9.0"/>
      </rPr>
      <t>+Total Online NF2F Independent Learning )/(Total F2F Physical+Total F2F Online+ Total Independent Learning) x 100]</t>
    </r>
  </si>
  <si>
    <t>Signature:</t>
  </si>
  <si>
    <t>Date:</t>
  </si>
  <si>
    <r>
      <rPr>
        <rFont val="Calibri"/>
        <color theme="1"/>
        <sz val="9.0"/>
      </rPr>
      <t xml:space="preserve">% SLT for All Practical Component
</t>
    </r>
    <r>
      <rPr>
        <rFont val="Calibri"/>
        <color rgb="FF2E75B5"/>
        <sz val="9.0"/>
      </rPr>
      <t>[% F2F Physical Practical + % F2F Online Practical]</t>
    </r>
  </si>
  <si>
    <r>
      <rPr>
        <rFont val="Calibri"/>
        <color theme="1"/>
        <sz val="9.0"/>
      </rPr>
      <t xml:space="preserve">% SLT for F2F Physical Practical Component
</t>
    </r>
    <r>
      <rPr>
        <rFont val="Calibri"/>
        <color rgb="FF2E75B5"/>
        <sz val="9.0"/>
      </rPr>
      <t>[(TotalF2F Physical Practical/(Total F2F Physical+ Total F2F Online+Total Independent Learning) x100)]</t>
    </r>
  </si>
  <si>
    <r>
      <rPr>
        <rFont val="Calibri"/>
        <color theme="1"/>
        <sz val="9.0"/>
      </rPr>
      <t>% SLT for F2F Online Practical Component:</t>
    </r>
    <r>
      <rPr>
        <rFont val="Calibri"/>
        <color rgb="FF2E75B5"/>
        <sz val="9.0"/>
      </rPr>
      <t xml:space="preserve"> [Total F2F Online Practical/(Total F2F Physical + Total F2F Online + Total Independent Learning) x 100]</t>
    </r>
  </si>
  <si>
    <t xml:space="preserve">Please tick (/) if this course is Industrial Training/ Clinical Placement/ Practicum using 50% of Effective Learning Time (ELT)
</t>
  </si>
  <si>
    <r>
      <rPr>
        <rFont val="Calibri"/>
        <b/>
        <color theme="1"/>
        <sz val="9.0"/>
      </rPr>
      <t xml:space="preserve">Academic honesty and plagiarism: </t>
    </r>
    <r>
      <rPr>
        <rFont val="Calibri"/>
        <b val="0"/>
        <i/>
        <color theme="1"/>
        <sz val="9.0"/>
      </rPr>
      <t>(Below is just a sample)</t>
    </r>
  </si>
</sst>
</file>

<file path=xl/styles.xml><?xml version="1.0" encoding="utf-8"?>
<styleSheet xmlns="http://schemas.openxmlformats.org/spreadsheetml/2006/main" xmlns:x14ac="http://schemas.microsoft.com/office/spreadsheetml/2009/9/ac" xmlns:mc="http://schemas.openxmlformats.org/markup-compatibility/2006">
  <fonts count="43">
    <font>
      <sz val="11.0"/>
      <color theme="1"/>
      <name val="Calibri"/>
      <scheme val="minor"/>
    </font>
    <font>
      <b/>
      <sz val="11.0"/>
      <color rgb="FFFFFFFF"/>
      <name val="Calibri"/>
    </font>
    <font>
      <b/>
      <sz val="11.0"/>
      <color theme="1"/>
      <name val="Calibri"/>
    </font>
    <font>
      <b/>
      <sz val="10.0"/>
      <color theme="1"/>
      <name val="Calibri"/>
    </font>
    <font/>
    <font>
      <sz val="9.0"/>
      <color theme="1"/>
      <name val="Calibri"/>
    </font>
    <font>
      <sz val="10.0"/>
      <color rgb="FF0432FF"/>
      <name val="Calibri"/>
    </font>
    <font>
      <b/>
      <sz val="8.0"/>
      <color theme="1"/>
      <name val="Calibri"/>
    </font>
    <font>
      <sz val="8.0"/>
      <color rgb="FF0432FF"/>
      <name val="Calibri"/>
    </font>
    <font>
      <b/>
      <sz val="9.0"/>
      <color theme="1"/>
      <name val="Calibri"/>
    </font>
    <font>
      <sz val="11.0"/>
      <color theme="1"/>
      <name val="Calibri"/>
    </font>
    <font>
      <i/>
      <sz val="10.0"/>
      <color theme="1"/>
      <name val="Calibri"/>
    </font>
    <font>
      <sz val="10.0"/>
      <color theme="1"/>
      <name val="Calibri"/>
    </font>
    <font>
      <b/>
      <sz val="8.0"/>
      <color rgb="FF000000"/>
      <name val="Calibri"/>
    </font>
    <font>
      <b/>
      <sz val="8.0"/>
      <color rgb="FF000000"/>
      <name val="&quot;Calibri \(Body\)&quot;"/>
    </font>
    <font>
      <u/>
      <sz val="11.0"/>
      <color theme="10"/>
      <name val="Calibri"/>
    </font>
    <font>
      <i/>
      <sz val="9.0"/>
      <color theme="1"/>
      <name val="Calibri"/>
    </font>
    <font>
      <sz val="10.0"/>
      <color rgb="FF0000FF"/>
      <name val="Calibri"/>
    </font>
    <font>
      <sz val="10.0"/>
      <color rgb="FFFF0000"/>
      <name val="Calibri"/>
    </font>
    <font>
      <b/>
      <u/>
      <sz val="18.0"/>
      <color theme="10"/>
      <name val="Calibri"/>
    </font>
    <font>
      <b/>
      <u/>
      <sz val="12.0"/>
      <color theme="10"/>
      <name val="Calibri"/>
    </font>
    <font>
      <sz val="11.0"/>
      <color rgb="FF9C5700"/>
      <name val="Calibri"/>
    </font>
    <font>
      <u/>
      <sz val="12.0"/>
      <color theme="10"/>
      <name val="Calibri"/>
    </font>
    <font>
      <sz val="12.0"/>
      <color rgb="FF000000"/>
      <name val="Calibri"/>
    </font>
    <font>
      <u/>
      <sz val="12.0"/>
      <color theme="10"/>
      <name val="Calibri"/>
    </font>
    <font>
      <u/>
      <sz val="12.0"/>
      <color theme="10"/>
      <name val="Calibri"/>
    </font>
    <font>
      <b/>
      <sz val="12.0"/>
      <color rgb="FF000000"/>
      <name val="Calibri"/>
    </font>
    <font>
      <sz val="12.0"/>
      <color rgb="FFFF0000"/>
      <name val="Calibri"/>
    </font>
    <font>
      <sz val="12.0"/>
      <color theme="1"/>
      <name val="Calibri"/>
    </font>
    <font>
      <b/>
      <sz val="7.0"/>
      <color theme="1"/>
      <name val="Calibri"/>
    </font>
    <font>
      <b/>
      <sz val="7.0"/>
      <color rgb="FF7030A0"/>
      <name val="Calibri"/>
    </font>
    <font>
      <b/>
      <sz val="7.0"/>
      <color rgb="FF2E75B5"/>
      <name val="Calibri"/>
    </font>
    <font>
      <b/>
      <sz val="7.0"/>
      <color rgb="FF00B050"/>
      <name val="Calibri"/>
    </font>
    <font>
      <sz val="9.0"/>
      <color rgb="FF0432FF"/>
      <name val="Calibri"/>
    </font>
    <font>
      <b/>
      <sz val="9.0"/>
      <color rgb="FF7030A0"/>
      <name val="Calibri"/>
    </font>
    <font>
      <b/>
      <sz val="9.0"/>
      <color rgb="FF2E75B5"/>
      <name val="Calibri"/>
    </font>
    <font>
      <b/>
      <sz val="9.0"/>
      <color rgb="FF00B050"/>
      <name val="Calibri"/>
    </font>
    <font>
      <sz val="8.0"/>
      <color theme="1"/>
      <name val="Calibri"/>
    </font>
    <font>
      <b/>
      <sz val="10.0"/>
      <color rgb="FF7030A0"/>
      <name val="Calibri"/>
    </font>
    <font>
      <u/>
      <sz val="11.0"/>
      <color theme="1"/>
      <name val="Calibri"/>
    </font>
    <font>
      <b/>
      <sz val="9.0"/>
      <color rgb="FF000000"/>
      <name val="Calibri"/>
    </font>
    <font>
      <b/>
      <sz val="8.0"/>
      <color rgb="FF7030A0"/>
      <name val="Calibri"/>
    </font>
    <font>
      <sz val="11.0"/>
      <color rgb="FF0432FF"/>
      <name val="Calibri"/>
    </font>
  </fonts>
  <fills count="7">
    <fill>
      <patternFill patternType="none"/>
    </fill>
    <fill>
      <patternFill patternType="lightGray"/>
    </fill>
    <fill>
      <patternFill patternType="solid">
        <fgColor rgb="FFDEEAF6"/>
        <bgColor rgb="FFDEEAF6"/>
      </patternFill>
    </fill>
    <fill>
      <patternFill patternType="solid">
        <fgColor rgb="FFE7E6E6"/>
        <bgColor rgb="FFE7E6E6"/>
      </patternFill>
    </fill>
    <fill>
      <patternFill patternType="solid">
        <fgColor rgb="FFD0CECE"/>
        <bgColor rgb="FFD0CECE"/>
      </patternFill>
    </fill>
    <fill>
      <patternFill patternType="solid">
        <fgColor rgb="FFFFFFFF"/>
        <bgColor rgb="FFFFFFFF"/>
      </patternFill>
    </fill>
    <fill>
      <patternFill patternType="solid">
        <fgColor rgb="FFFFEB9C"/>
        <bgColor rgb="FFFFEB9C"/>
      </patternFill>
    </fill>
  </fills>
  <borders count="29">
    <border/>
    <border>
      <left/>
      <right/>
      <top/>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top style="thin">
        <color rgb="FF000000"/>
      </top>
      <bottom style="thin">
        <color rgb="FF000000"/>
      </bottom>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medium">
        <color rgb="FF000000"/>
      </top>
      <bottom style="medium">
        <color rgb="FF000000"/>
      </bottom>
    </border>
    <border>
      <right/>
      <top style="thin">
        <color rgb="FF000000"/>
      </top>
    </border>
    <border>
      <left style="thin">
        <color rgb="FF000000"/>
      </left>
      <right style="thin">
        <color rgb="FF000000"/>
      </right>
      <top style="thin">
        <color rgb="FF000000"/>
      </top>
    </border>
    <border>
      <right/>
    </border>
    <border>
      <left style="thin">
        <color rgb="FF000000"/>
      </left>
      <right style="thin">
        <color rgb="FF000000"/>
      </right>
    </border>
    <border>
      <right/>
      <bottom style="thin">
        <color rgb="FF000000"/>
      </bottom>
    </border>
    <border>
      <left style="thin">
        <color rgb="FF000000"/>
      </left>
      <right style="thin">
        <color rgb="FF000000"/>
      </right>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right/>
      <top style="thin">
        <color rgb="FF000000"/>
      </top>
    </border>
    <border>
      <left style="thin">
        <color rgb="FF000000"/>
      </left>
      <right/>
      <bottom style="thin">
        <color rgb="FF000000"/>
      </bottom>
    </border>
    <border>
      <left/>
      <right style="thin">
        <color rgb="FF000000"/>
      </right>
      <top style="thin">
        <color rgb="FF000000"/>
      </top>
    </border>
    <border>
      <left/>
      <right style="thin">
        <color rgb="FF000000"/>
      </right>
    </border>
    <border>
      <left/>
      <right style="thin">
        <color rgb="FF000000"/>
      </right>
      <bottom style="thin">
        <color rgb="FF000000"/>
      </bottom>
    </border>
  </borders>
  <cellStyleXfs count="1">
    <xf borderId="0" fillId="0" fontId="0" numFmtId="0" applyAlignment="1" applyFont="1"/>
  </cellStyleXfs>
  <cellXfs count="24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0" fillId="0" fontId="2" numFmtId="0" xfId="0" applyAlignment="1" applyFont="1">
      <alignment horizontal="center"/>
    </xf>
    <xf borderId="1" fillId="2" fontId="1" numFmtId="0" xfId="0" applyAlignment="1" applyBorder="1" applyFont="1">
      <alignment horizontal="left" shrinkToFit="0" vertical="top" wrapText="1"/>
    </xf>
    <xf borderId="2" fillId="3" fontId="3" numFmtId="0" xfId="0" applyAlignment="1" applyBorder="1" applyFill="1" applyFont="1">
      <alignment horizontal="left"/>
    </xf>
    <xf borderId="3" fillId="0" fontId="4" numFmtId="0" xfId="0" applyBorder="1" applyFont="1"/>
    <xf borderId="4" fillId="0" fontId="5" numFmtId="0" xfId="0" applyAlignment="1" applyBorder="1" applyFont="1">
      <alignment horizontal="center" shrinkToFit="0" vertical="top" wrapText="1"/>
    </xf>
    <xf borderId="5" fillId="0" fontId="4" numFmtId="0" xfId="0" applyBorder="1" applyFont="1"/>
    <xf borderId="4" fillId="0" fontId="5" numFmtId="0" xfId="0" applyAlignment="1" applyBorder="1" applyFont="1">
      <alignment shrinkToFit="0" vertical="top" wrapText="1"/>
    </xf>
    <xf borderId="2" fillId="0" fontId="3" numFmtId="0" xfId="0" applyBorder="1" applyFont="1"/>
    <xf borderId="6" fillId="0" fontId="6" numFmtId="0" xfId="0" applyAlignment="1" applyBorder="1" applyFont="1">
      <alignment horizontal="left" vertical="center"/>
    </xf>
    <xf borderId="2" fillId="3" fontId="3" numFmtId="0" xfId="0" applyAlignment="1" applyBorder="1" applyFont="1">
      <alignment horizontal="left" shrinkToFit="0" vertical="center" wrapText="1"/>
    </xf>
    <xf borderId="2" fillId="0" fontId="3" numFmtId="0" xfId="0" applyAlignment="1" applyBorder="1" applyFont="1">
      <alignment shrinkToFit="0" vertical="center" wrapText="1"/>
    </xf>
    <xf borderId="4" fillId="0" fontId="5" numFmtId="0" xfId="0" applyAlignment="1" applyBorder="1" applyFont="1">
      <alignment readingOrder="0" shrinkToFit="0" vertical="top" wrapText="1"/>
    </xf>
    <xf borderId="6" fillId="0" fontId="4" numFmtId="0" xfId="0" applyBorder="1" applyFont="1"/>
    <xf borderId="2" fillId="0" fontId="3" numFmtId="0" xfId="0" applyAlignment="1" applyBorder="1" applyFont="1">
      <alignment horizontal="center" shrinkToFit="0" vertical="center" wrapText="1"/>
    </xf>
    <xf borderId="2" fillId="3" fontId="7" numFmtId="0" xfId="0" applyAlignment="1" applyBorder="1" applyFont="1">
      <alignment horizontal="center" shrinkToFit="0" vertical="center" wrapText="1"/>
    </xf>
    <xf borderId="0" fillId="0" fontId="5" numFmtId="0" xfId="0" applyFont="1"/>
    <xf borderId="2" fillId="4" fontId="3" numFmtId="0" xfId="0" applyAlignment="1" applyBorder="1" applyFill="1" applyFont="1">
      <alignment horizontal="center" shrinkToFit="0" vertical="center" wrapText="1"/>
    </xf>
    <xf borderId="2" fillId="0" fontId="8" numFmtId="0" xfId="0" applyAlignment="1" applyBorder="1" applyFont="1">
      <alignment horizontal="left" readingOrder="0" shrinkToFit="0" vertical="top" wrapText="1"/>
    </xf>
    <xf borderId="0" fillId="0" fontId="9" numFmtId="0" xfId="0" applyAlignment="1" applyFont="1">
      <alignment horizontal="center"/>
    </xf>
    <xf borderId="0" fillId="0" fontId="6" numFmtId="0" xfId="0" applyAlignment="1" applyFont="1">
      <alignment horizontal="left" shrinkToFit="0" vertical="top" wrapText="1"/>
    </xf>
    <xf borderId="2" fillId="0" fontId="8" numFmtId="0" xfId="0" applyAlignment="1" applyBorder="1" applyFont="1">
      <alignment horizontal="left" vertical="top"/>
    </xf>
    <xf borderId="4" fillId="0" fontId="5" numFmtId="0" xfId="0" applyAlignment="1" applyBorder="1" applyFont="1">
      <alignment horizontal="center" shrinkToFit="0" vertical="top" wrapText="1"/>
    </xf>
    <xf borderId="6" fillId="0" fontId="6" numFmtId="0" xfId="0" applyAlignment="1" applyBorder="1" applyFont="1">
      <alignment vertical="center"/>
    </xf>
    <xf borderId="4" fillId="0" fontId="5" numFmtId="0" xfId="0" applyAlignment="1" applyBorder="1" applyFont="1">
      <alignment shrinkToFit="0" vertical="top" wrapText="1"/>
    </xf>
    <xf borderId="7" fillId="4" fontId="3" numFmtId="0" xfId="0" applyAlignment="1" applyBorder="1" applyFont="1">
      <alignment horizontal="center" shrinkToFit="0" vertical="center" wrapText="1"/>
    </xf>
    <xf borderId="4" fillId="5" fontId="10" numFmtId="0" xfId="0" applyAlignment="1" applyBorder="1" applyFill="1" applyFont="1">
      <alignment shrinkToFit="0" vertical="top" wrapText="1"/>
    </xf>
    <xf borderId="8" fillId="0" fontId="4" numFmtId="0" xfId="0" applyBorder="1" applyFont="1"/>
    <xf borderId="4" fillId="0" fontId="10" numFmtId="0" xfId="0" applyAlignment="1" applyBorder="1" applyFont="1">
      <alignment shrinkToFit="0" vertical="top" wrapText="1"/>
    </xf>
    <xf borderId="2" fillId="3" fontId="9" numFmtId="0" xfId="0" applyAlignment="1" applyBorder="1" applyFont="1">
      <alignment horizontal="left"/>
    </xf>
    <xf borderId="9" fillId="0" fontId="4" numFmtId="0" xfId="0" applyBorder="1" applyFont="1"/>
    <xf borderId="2" fillId="0" fontId="9" numFmtId="0" xfId="0" applyBorder="1" applyFont="1"/>
    <xf borderId="10" fillId="4" fontId="3" numFmtId="0" xfId="0" applyAlignment="1" applyBorder="1" applyFont="1">
      <alignment horizontal="center" shrinkToFit="0" vertical="center" wrapText="1"/>
    </xf>
    <xf borderId="2" fillId="3" fontId="9" numFmtId="0" xfId="0" applyAlignment="1" applyBorder="1" applyFont="1">
      <alignment horizontal="left" shrinkToFit="0" vertical="center" wrapText="1"/>
    </xf>
    <xf borderId="11" fillId="0" fontId="4" numFmtId="0" xfId="0" applyBorder="1" applyFont="1"/>
    <xf borderId="2" fillId="0" fontId="8" numFmtId="0" xfId="0" applyAlignment="1" applyBorder="1" applyFont="1">
      <alignment horizontal="left" shrinkToFit="0" vertical="top" wrapText="1"/>
    </xf>
    <xf borderId="2" fillId="0" fontId="9" numFmtId="0" xfId="0" applyAlignment="1" applyBorder="1" applyFont="1">
      <alignment shrinkToFit="0" vertical="center" wrapText="1"/>
    </xf>
    <xf borderId="4" fillId="0" fontId="11" numFmtId="0" xfId="0" applyAlignment="1" applyBorder="1" applyFont="1">
      <alignment horizontal="center" shrinkToFit="0" vertical="center" wrapText="1"/>
    </xf>
    <xf borderId="2" fillId="0" fontId="11" numFmtId="0" xfId="0" applyAlignment="1" applyBorder="1" applyFont="1">
      <alignment horizontal="center" shrinkToFit="0" vertical="center" wrapText="1"/>
    </xf>
    <xf borderId="2" fillId="0" fontId="9" numFmtId="0" xfId="0" applyAlignment="1" applyBorder="1" applyFont="1">
      <alignment horizontal="center" shrinkToFit="0" vertical="center" wrapText="1"/>
    </xf>
    <xf borderId="4" fillId="0" fontId="3" numFmtId="0" xfId="0" applyAlignment="1" applyBorder="1" applyFont="1">
      <alignment horizontal="center" shrinkToFit="0" vertical="center" wrapText="1"/>
    </xf>
    <xf borderId="2" fillId="3" fontId="9" numFmtId="0" xfId="0" applyAlignment="1" applyBorder="1" applyFont="1">
      <alignment horizontal="center" shrinkToFit="0" vertical="center" wrapText="1"/>
    </xf>
    <xf borderId="12" fillId="0" fontId="4" numFmtId="0" xfId="0" applyBorder="1" applyFont="1"/>
    <xf borderId="13" fillId="0" fontId="4" numFmtId="0" xfId="0" applyBorder="1" applyFont="1"/>
    <xf borderId="14" fillId="0" fontId="4" numFmtId="0" xfId="0" applyBorder="1" applyFont="1"/>
    <xf borderId="0" fillId="0" fontId="2" numFmtId="0" xfId="0" applyAlignment="1" applyFont="1">
      <alignment horizontal="left" shrinkToFit="0" vertical="center" wrapText="1"/>
    </xf>
    <xf borderId="0" fillId="0" fontId="12" numFmtId="0" xfId="0" applyAlignment="1" applyFont="1">
      <alignment vertical="top"/>
    </xf>
    <xf borderId="4" fillId="3" fontId="7" numFmtId="0" xfId="0" applyAlignment="1" applyBorder="1" applyFont="1">
      <alignment horizontal="center" vertical="center"/>
    </xf>
    <xf borderId="2" fillId="3" fontId="7" numFmtId="0" xfId="0" applyAlignment="1" applyBorder="1" applyFont="1">
      <alignment horizontal="center" vertical="center"/>
    </xf>
    <xf borderId="2" fillId="3" fontId="13" numFmtId="0" xfId="0" applyAlignment="1" applyBorder="1" applyFont="1">
      <alignment horizontal="center" shrinkToFit="0" vertical="center" wrapText="1"/>
    </xf>
    <xf borderId="2" fillId="4" fontId="9" numFmtId="0" xfId="0" applyAlignment="1" applyBorder="1" applyFont="1">
      <alignment horizontal="center" shrinkToFit="0" vertical="center" wrapText="1"/>
    </xf>
    <xf borderId="2" fillId="3" fontId="14" numFmtId="0" xfId="0" applyAlignment="1" applyBorder="1" applyFont="1">
      <alignment horizontal="center" readingOrder="0" vertical="center"/>
    </xf>
    <xf borderId="2" fillId="0" fontId="5" numFmtId="0" xfId="0" applyAlignment="1" applyBorder="1" applyFont="1">
      <alignment horizontal="center" shrinkToFit="0" vertical="center" wrapText="1"/>
    </xf>
    <xf borderId="4" fillId="3" fontId="7" numFmtId="0" xfId="0" applyAlignment="1" applyBorder="1" applyFont="1">
      <alignment horizontal="center" shrinkToFit="0" vertical="center" wrapText="1"/>
    </xf>
    <xf borderId="4" fillId="3" fontId="14" numFmtId="0" xfId="0" applyAlignment="1" applyBorder="1" applyFont="1">
      <alignment horizontal="center" readingOrder="0" vertical="center"/>
    </xf>
    <xf borderId="4" fillId="0" fontId="12" numFmtId="0" xfId="0" applyAlignment="1" applyBorder="1" applyFont="1">
      <alignment horizontal="center" shrinkToFit="0" vertical="center" wrapText="1"/>
    </xf>
    <xf borderId="2" fillId="0" fontId="5" numFmtId="0" xfId="0" applyAlignment="1" applyBorder="1" applyFont="1">
      <alignment horizontal="center" vertical="top"/>
    </xf>
    <xf borderId="2" fillId="0" fontId="12" numFmtId="0" xfId="0" applyAlignment="1" applyBorder="1" applyFont="1">
      <alignment horizontal="center" readingOrder="0" shrinkToFit="0" vertical="center" wrapText="1"/>
    </xf>
    <xf borderId="7" fillId="4" fontId="9" numFmtId="0" xfId="0" applyAlignment="1" applyBorder="1" applyFont="1">
      <alignment horizontal="center" shrinkToFit="0" vertical="center" wrapText="1"/>
    </xf>
    <xf borderId="4" fillId="0" fontId="12" numFmtId="0" xfId="0" applyAlignment="1" applyBorder="1" applyFont="1">
      <alignment shrinkToFit="0" vertical="center" wrapText="1"/>
    </xf>
    <xf borderId="4" fillId="0" fontId="12" numFmtId="0" xfId="0" applyAlignment="1" applyBorder="1" applyFont="1">
      <alignment vertical="center"/>
    </xf>
    <xf borderId="4" fillId="0" fontId="12" numFmtId="0" xfId="0" applyAlignment="1" applyBorder="1" applyFont="1">
      <alignment horizontal="center" readingOrder="0" vertical="center"/>
    </xf>
    <xf borderId="10" fillId="4" fontId="9" numFmtId="0" xfId="0" applyAlignment="1" applyBorder="1" applyFont="1">
      <alignment horizontal="center" shrinkToFit="0" vertical="center" wrapText="1"/>
    </xf>
    <xf borderId="6" fillId="0" fontId="6" numFmtId="0" xfId="0" applyAlignment="1" applyBorder="1" applyFont="1">
      <alignment horizontal="left" shrinkToFit="0" vertical="center" wrapText="1"/>
    </xf>
    <xf borderId="0" fillId="0" fontId="15" numFmtId="0" xfId="0" applyFont="1"/>
    <xf borderId="2" fillId="0" fontId="16" numFmtId="0" xfId="0" applyAlignment="1" applyBorder="1" applyFont="1">
      <alignment horizontal="center" shrinkToFit="0" vertical="center" wrapText="1"/>
    </xf>
    <xf borderId="0" fillId="0" fontId="12" numFmtId="0" xfId="0" applyAlignment="1" applyFont="1">
      <alignment horizontal="left" shrinkToFit="0" vertical="top" wrapText="1"/>
    </xf>
    <xf borderId="4" fillId="0" fontId="16" numFmtId="0" xfId="0" applyAlignment="1" applyBorder="1" applyFont="1">
      <alignment horizontal="center" shrinkToFit="0" vertical="center" wrapText="1"/>
    </xf>
    <xf borderId="2" fillId="0" fontId="17" numFmtId="0" xfId="0" applyAlignment="1" applyBorder="1" applyFont="1">
      <alignment horizontal="center" readingOrder="0" shrinkToFit="0" vertical="center" wrapText="1"/>
    </xf>
    <xf borderId="2" fillId="0" fontId="18" numFmtId="0" xfId="0" applyAlignment="1" applyBorder="1" applyFont="1">
      <alignment horizontal="center" readingOrder="0" shrinkToFit="0" vertical="center" wrapText="1"/>
    </xf>
    <xf borderId="0" fillId="0" fontId="19" numFmtId="0" xfId="0" applyFont="1"/>
    <xf borderId="4" fillId="0" fontId="17" numFmtId="0" xfId="0" applyAlignment="1" applyBorder="1" applyFont="1">
      <alignment horizontal="center" readingOrder="0" shrinkToFit="0" vertical="center" wrapText="1"/>
    </xf>
    <xf borderId="4" fillId="0" fontId="9" numFmtId="0" xfId="0" applyAlignment="1" applyBorder="1" applyFont="1">
      <alignment horizontal="center" shrinkToFit="0" vertical="center" wrapText="1"/>
    </xf>
    <xf borderId="4" fillId="0" fontId="12" numFmtId="0" xfId="0" applyAlignment="1" applyBorder="1" applyFont="1">
      <alignment horizontal="center" readingOrder="0" shrinkToFit="0" vertical="center" wrapText="1"/>
    </xf>
    <xf borderId="15" fillId="6" fontId="20" numFmtId="0" xfId="0" applyAlignment="1" applyBorder="1" applyFill="1" applyFont="1">
      <alignment horizontal="center" shrinkToFit="0" vertical="center" wrapText="1"/>
    </xf>
    <xf borderId="0" fillId="0" fontId="5" numFmtId="0" xfId="0" applyAlignment="1" applyFont="1">
      <alignment shrinkToFit="0" wrapText="1"/>
    </xf>
    <xf borderId="15" fillId="6" fontId="21" numFmtId="0" xfId="0" applyAlignment="1" applyBorder="1" applyFont="1">
      <alignment horizontal="center" shrinkToFit="0" vertical="center" wrapText="1"/>
    </xf>
    <xf borderId="0" fillId="0" fontId="10" numFmtId="0" xfId="0" applyAlignment="1" applyFont="1">
      <alignment horizontal="left"/>
    </xf>
    <xf borderId="4" fillId="0" fontId="17" numFmtId="0" xfId="0" applyAlignment="1" applyBorder="1" applyFont="1">
      <alignment readingOrder="0" vertical="center"/>
    </xf>
    <xf borderId="0" fillId="0" fontId="22" numFmtId="0" xfId="0" applyAlignment="1" applyFont="1">
      <alignment horizontal="left" vertical="top"/>
    </xf>
    <xf borderId="0" fillId="0" fontId="23" numFmtId="0" xfId="0" applyAlignment="1" applyFont="1">
      <alignment horizontal="left" vertical="top"/>
    </xf>
    <xf borderId="0" fillId="0" fontId="23" numFmtId="9" xfId="0" applyAlignment="1" applyFont="1" applyNumberFormat="1">
      <alignment horizontal="left" vertical="top"/>
    </xf>
    <xf borderId="0" fillId="0" fontId="23" numFmtId="0" xfId="0" applyAlignment="1" applyFont="1">
      <alignment horizontal="left"/>
    </xf>
    <xf borderId="4" fillId="0" fontId="12" numFmtId="0" xfId="0" applyAlignment="1" applyBorder="1" applyFont="1">
      <alignment readingOrder="0" vertical="center"/>
    </xf>
    <xf borderId="0" fillId="0" fontId="5" numFmtId="0" xfId="0" applyAlignment="1" applyFont="1">
      <alignment horizontal="left" shrinkToFit="0" vertical="center" wrapText="1"/>
    </xf>
    <xf borderId="0" fillId="0" fontId="24" numFmtId="0" xfId="0" applyFont="1"/>
    <xf borderId="0" fillId="0" fontId="23" numFmtId="0" xfId="0" applyFont="1"/>
    <xf borderId="4" fillId="0" fontId="25" numFmtId="0" xfId="0" applyBorder="1" applyFont="1"/>
    <xf borderId="4" fillId="0" fontId="23" numFmtId="0" xfId="0" applyBorder="1" applyFont="1"/>
    <xf borderId="0" fillId="0" fontId="5" numFmtId="0" xfId="0" applyAlignment="1" applyFont="1">
      <alignment vertical="top"/>
    </xf>
    <xf borderId="2" fillId="3" fontId="9" numFmtId="0" xfId="0" applyAlignment="1" applyBorder="1" applyFont="1">
      <alignment horizontal="center" vertical="top"/>
    </xf>
    <xf borderId="4" fillId="0" fontId="26" numFmtId="0" xfId="0" applyBorder="1" applyFont="1"/>
    <xf borderId="2" fillId="3" fontId="9" numFmtId="0" xfId="0" applyAlignment="1" applyBorder="1" applyFont="1">
      <alignment horizontal="center" shrinkToFit="0" vertical="top" wrapText="1"/>
    </xf>
    <xf borderId="4" fillId="3" fontId="9" numFmtId="0" xfId="0" applyAlignment="1" applyBorder="1" applyFont="1">
      <alignment horizontal="center" shrinkToFit="0" vertical="top" wrapText="1"/>
    </xf>
    <xf borderId="4" fillId="0" fontId="27" numFmtId="0" xfId="0" applyBorder="1" applyFont="1"/>
    <xf borderId="2" fillId="0" fontId="10" numFmtId="0" xfId="0" applyAlignment="1" applyBorder="1" applyFont="1">
      <alignment horizontal="left" readingOrder="0" shrinkToFit="0" vertical="top" wrapText="1"/>
    </xf>
    <xf borderId="2" fillId="0" fontId="5" numFmtId="0" xfId="0" applyAlignment="1" applyBorder="1" applyFont="1">
      <alignment horizontal="left" shrinkToFit="0" vertical="top" wrapText="1"/>
    </xf>
    <xf borderId="0" fillId="0" fontId="6" numFmtId="0" xfId="0" applyFont="1"/>
    <xf borderId="2" fillId="0" fontId="10" numFmtId="0" xfId="0" applyAlignment="1" applyBorder="1" applyFont="1">
      <alignment horizontal="left" shrinkToFit="0" vertical="top" wrapText="1"/>
    </xf>
    <xf borderId="2" fillId="0" fontId="5" numFmtId="0" xfId="0" applyAlignment="1" applyBorder="1" applyFont="1">
      <alignment horizontal="center" shrinkToFit="0" vertical="top" wrapText="1"/>
    </xf>
    <xf borderId="0" fillId="0" fontId="10" numFmtId="0" xfId="0" applyAlignment="1" applyFont="1">
      <alignment horizontal="left" shrinkToFit="0" vertical="center" wrapText="1"/>
    </xf>
    <xf borderId="4" fillId="0" fontId="28" numFmtId="0" xfId="0" applyBorder="1" applyFont="1"/>
    <xf borderId="13" fillId="0" fontId="2" numFmtId="0" xfId="0" applyAlignment="1" applyBorder="1" applyFont="1">
      <alignment horizontal="left"/>
    </xf>
    <xf borderId="4" fillId="3" fontId="3" numFmtId="0" xfId="0" applyAlignment="1" applyBorder="1" applyFont="1">
      <alignment horizontal="center" shrinkToFit="0" vertical="center" wrapText="1"/>
    </xf>
    <xf borderId="2" fillId="3" fontId="2" numFmtId="0" xfId="0" applyAlignment="1" applyBorder="1" applyFont="1">
      <alignment horizontal="center"/>
    </xf>
    <xf borderId="2" fillId="0" fontId="10" numFmtId="0" xfId="0" applyAlignment="1" applyBorder="1" applyFont="1">
      <alignment horizontal="left" vertical="top"/>
    </xf>
    <xf borderId="2" fillId="0" fontId="10" numFmtId="0" xfId="0" applyAlignment="1" applyBorder="1" applyFont="1">
      <alignment vertical="top"/>
    </xf>
    <xf borderId="2" fillId="0" fontId="10" numFmtId="0" xfId="0" applyAlignment="1" applyBorder="1" applyFont="1">
      <alignment horizontal="center" vertical="top"/>
    </xf>
    <xf borderId="2" fillId="0" fontId="5" numFmtId="0" xfId="0" applyAlignment="1" applyBorder="1" applyFont="1">
      <alignment horizontal="left" shrinkToFit="0" vertical="center" wrapText="1"/>
    </xf>
    <xf borderId="2" fillId="0" fontId="2" numFmtId="0" xfId="0" applyAlignment="1" applyBorder="1" applyFont="1">
      <alignment horizontal="left" shrinkToFit="0" wrapText="1"/>
    </xf>
    <xf borderId="0" fillId="0" fontId="2" numFmtId="0" xfId="0" applyAlignment="1" applyFont="1">
      <alignment horizontal="left"/>
    </xf>
    <xf borderId="7" fillId="3" fontId="29" numFmtId="0" xfId="0" applyAlignment="1" applyBorder="1" applyFont="1">
      <alignment horizontal="center" shrinkToFit="0" vertical="center" wrapText="1"/>
    </xf>
    <xf borderId="16" fillId="0" fontId="4" numFmtId="0" xfId="0" applyBorder="1" applyFont="1"/>
    <xf borderId="2" fillId="3" fontId="29" numFmtId="0" xfId="0" applyAlignment="1" applyBorder="1" applyFont="1">
      <alignment horizontal="center" vertical="center"/>
    </xf>
    <xf borderId="17" fillId="3" fontId="29" numFmtId="0" xfId="0" applyAlignment="1" applyBorder="1" applyFont="1">
      <alignment horizontal="center" shrinkToFit="0" vertical="center" wrapText="1"/>
    </xf>
    <xf borderId="18" fillId="0" fontId="4" numFmtId="0" xfId="0" applyBorder="1" applyFont="1"/>
    <xf borderId="2" fillId="3" fontId="29" numFmtId="0" xfId="0" applyAlignment="1" applyBorder="1" applyFont="1">
      <alignment horizontal="center" shrinkToFit="0" vertical="top" wrapText="1"/>
    </xf>
    <xf borderId="13" fillId="0" fontId="9" numFmtId="0" xfId="0" applyAlignment="1" applyBorder="1" applyFont="1">
      <alignment horizontal="left"/>
    </xf>
    <xf borderId="2" fillId="3" fontId="30" numFmtId="0" xfId="0" applyAlignment="1" applyBorder="1" applyFont="1">
      <alignment horizontal="center" shrinkToFit="0" vertical="center" wrapText="1"/>
    </xf>
    <xf borderId="19" fillId="0" fontId="4" numFmtId="0" xfId="0" applyBorder="1" applyFont="1"/>
    <xf borderId="4" fillId="3" fontId="9" numFmtId="0" xfId="0" applyAlignment="1" applyBorder="1" applyFont="1">
      <alignment horizontal="center" shrinkToFit="0" vertical="center" wrapText="1"/>
    </xf>
    <xf borderId="2" fillId="3" fontId="31" numFmtId="0" xfId="0" applyAlignment="1" applyBorder="1" applyFont="1">
      <alignment horizontal="center" vertical="center"/>
    </xf>
    <xf borderId="0" fillId="0" fontId="28" numFmtId="0" xfId="0" applyFont="1"/>
    <xf borderId="2" fillId="3" fontId="9" numFmtId="0" xfId="0" applyAlignment="1" applyBorder="1" applyFont="1">
      <alignment horizontal="center"/>
    </xf>
    <xf borderId="2" fillId="3" fontId="32" numFmtId="0" xfId="0" applyAlignment="1" applyBorder="1" applyFont="1">
      <alignment horizontal="center" shrinkToFit="0" vertical="center" wrapText="1"/>
    </xf>
    <xf borderId="17" fillId="3" fontId="32" numFmtId="0" xfId="0" applyAlignment="1" applyBorder="1" applyFont="1">
      <alignment horizontal="center" shrinkToFit="0" vertical="center" wrapText="1"/>
    </xf>
    <xf borderId="17" fillId="3" fontId="29" numFmtId="0" xfId="0" applyAlignment="1" applyBorder="1" applyFont="1">
      <alignment horizontal="center" vertical="center"/>
    </xf>
    <xf borderId="20" fillId="0" fontId="4" numFmtId="0" xfId="0" applyBorder="1" applyFont="1"/>
    <xf borderId="4" fillId="3" fontId="29" numFmtId="0" xfId="0" applyAlignment="1" applyBorder="1" applyFont="1">
      <alignment horizontal="center"/>
    </xf>
    <xf borderId="2" fillId="0" fontId="5" numFmtId="0" xfId="0" applyAlignment="1" applyBorder="1" applyFont="1">
      <alignment vertical="top"/>
    </xf>
    <xf borderId="2" fillId="0" fontId="5" numFmtId="0" xfId="0" applyAlignment="1" applyBorder="1" applyFont="1">
      <alignment shrinkToFit="0" vertical="top" wrapText="1"/>
    </xf>
    <xf borderId="21" fillId="0" fontId="4" numFmtId="0" xfId="0" applyBorder="1" applyFont="1"/>
    <xf borderId="2" fillId="0" fontId="33" numFmtId="0" xfId="0" applyAlignment="1" applyBorder="1" applyFont="1">
      <alignment horizontal="center" vertical="top"/>
    </xf>
    <xf borderId="4" fillId="2" fontId="5" numFmtId="0" xfId="0" applyAlignment="1" applyBorder="1" applyFont="1">
      <alignment horizontal="center" vertical="top"/>
    </xf>
    <xf borderId="2" fillId="0" fontId="5" numFmtId="0" xfId="0" applyAlignment="1" applyBorder="1" applyFont="1">
      <alignment horizontal="left" vertical="top"/>
    </xf>
    <xf borderId="2" fillId="0" fontId="9" numFmtId="0" xfId="0" applyAlignment="1" applyBorder="1" applyFont="1">
      <alignment horizontal="left" shrinkToFit="0" wrapText="1"/>
    </xf>
    <xf borderId="0" fillId="0" fontId="9" numFmtId="0" xfId="0" applyAlignment="1" applyFont="1">
      <alignment horizontal="left"/>
    </xf>
    <xf borderId="7" fillId="3" fontId="9" numFmtId="0" xfId="0" applyAlignment="1" applyBorder="1" applyFont="1">
      <alignment horizontal="center" shrinkToFit="0" vertical="center" wrapText="1"/>
    </xf>
    <xf borderId="7" fillId="3" fontId="9" numFmtId="0" xfId="0" applyAlignment="1" applyBorder="1" applyFont="1">
      <alignment horizontal="center" vertical="center"/>
    </xf>
    <xf borderId="2" fillId="3" fontId="9" numFmtId="0" xfId="0" applyAlignment="1" applyBorder="1" applyFont="1">
      <alignment horizontal="center" vertical="center"/>
    </xf>
    <xf borderId="17" fillId="3" fontId="9" numFmtId="0" xfId="0" applyAlignment="1" applyBorder="1" applyFont="1">
      <alignment horizontal="center" shrinkToFit="0" vertical="center" wrapText="1"/>
    </xf>
    <xf borderId="2" fillId="3" fontId="34" numFmtId="0" xfId="0" applyAlignment="1" applyBorder="1" applyFont="1">
      <alignment horizontal="center" shrinkToFit="0" vertical="center" wrapText="1"/>
    </xf>
    <xf borderId="2" fillId="3" fontId="35" numFmtId="0" xfId="0" applyAlignment="1" applyBorder="1" applyFont="1">
      <alignment horizontal="center" vertical="center"/>
    </xf>
    <xf borderId="2" fillId="3" fontId="36" numFmtId="0" xfId="0" applyAlignment="1" applyBorder="1" applyFont="1">
      <alignment horizontal="center" shrinkToFit="0" vertical="center" wrapText="1"/>
    </xf>
    <xf borderId="17" fillId="3" fontId="9" numFmtId="0" xfId="0" applyAlignment="1" applyBorder="1" applyFont="1">
      <alignment horizontal="center" vertical="center"/>
    </xf>
    <xf borderId="2" fillId="0" fontId="37" numFmtId="0" xfId="0" applyAlignment="1" applyBorder="1" applyFont="1">
      <alignment horizontal="center" shrinkToFit="0" vertical="center" wrapText="1"/>
    </xf>
    <xf borderId="4" fillId="3" fontId="9" numFmtId="0" xfId="0" applyAlignment="1" applyBorder="1" applyFont="1">
      <alignment horizontal="center"/>
    </xf>
    <xf borderId="2" fillId="0" fontId="5" numFmtId="0" xfId="0" applyAlignment="1" applyBorder="1" applyFont="1">
      <alignment horizontal="center"/>
    </xf>
    <xf borderId="4" fillId="0" fontId="5" numFmtId="0" xfId="0" applyAlignment="1" applyBorder="1" applyFont="1">
      <alignment horizontal="center"/>
    </xf>
    <xf borderId="4" fillId="0" fontId="5" numFmtId="0" xfId="0" applyBorder="1" applyFont="1"/>
    <xf borderId="10" fillId="2" fontId="5" numFmtId="0" xfId="0" applyAlignment="1" applyBorder="1" applyFont="1">
      <alignment horizontal="center" vertical="top"/>
    </xf>
    <xf borderId="2" fillId="0" fontId="2" numFmtId="0" xfId="0" applyAlignment="1" applyBorder="1" applyFont="1">
      <alignment horizontal="center" vertical="top"/>
    </xf>
    <xf borderId="4" fillId="0" fontId="2" numFmtId="0" xfId="0" applyAlignment="1" applyBorder="1" applyFont="1">
      <alignment horizontal="center"/>
    </xf>
    <xf borderId="0" fillId="0" fontId="2" numFmtId="0" xfId="0" applyAlignment="1" applyFont="1">
      <alignment horizontal="center" vertical="top"/>
    </xf>
    <xf borderId="0" fillId="0" fontId="2" numFmtId="0" xfId="0" applyAlignment="1" applyFont="1">
      <alignment horizontal="right"/>
    </xf>
    <xf borderId="7" fillId="3" fontId="2" numFmtId="0" xfId="0" applyAlignment="1" applyBorder="1" applyFont="1">
      <alignment horizontal="center" vertical="center"/>
    </xf>
    <xf borderId="2" fillId="3" fontId="2" numFmtId="0" xfId="0" applyAlignment="1" applyBorder="1" applyFont="1">
      <alignment horizontal="center" vertical="center"/>
    </xf>
    <xf borderId="22" fillId="3" fontId="38" numFmtId="0" xfId="0" applyAlignment="1" applyBorder="1" applyFont="1">
      <alignment horizontal="center" shrinkToFit="0" vertical="center" wrapText="1"/>
    </xf>
    <xf borderId="23" fillId="0" fontId="4" numFmtId="0" xfId="0" applyBorder="1" applyFont="1"/>
    <xf borderId="17" fillId="3" fontId="2" numFmtId="0" xfId="0" applyAlignment="1" applyBorder="1" applyFont="1">
      <alignment horizontal="center" shrinkToFit="0" vertical="center" wrapText="1"/>
    </xf>
    <xf borderId="0" fillId="0" fontId="6" numFmtId="0" xfId="0" applyAlignment="1" applyFont="1">
      <alignment horizontal="left" shrinkToFit="0" vertical="center" wrapText="1"/>
    </xf>
    <xf borderId="0" fillId="0" fontId="39" numFmtId="0" xfId="0" applyFont="1"/>
    <xf borderId="7" fillId="3" fontId="35" numFmtId="0" xfId="0" applyAlignment="1" applyBorder="1" applyFont="1">
      <alignment horizontal="center" vertical="center"/>
    </xf>
    <xf borderId="7" fillId="3" fontId="36" numFmtId="0" xfId="0" applyAlignment="1" applyBorder="1" applyFont="1">
      <alignment horizontal="center" shrinkToFit="0" vertical="center" wrapText="1"/>
    </xf>
    <xf borderId="24" fillId="3" fontId="36" numFmtId="0" xfId="0" applyAlignment="1" applyBorder="1" applyFont="1">
      <alignment horizontal="center" shrinkToFit="0" vertical="center" wrapText="1"/>
    </xf>
    <xf borderId="17" fillId="3" fontId="40" numFmtId="0" xfId="0" applyAlignment="1" applyBorder="1" applyFont="1">
      <alignment horizontal="center" vertical="center"/>
    </xf>
    <xf borderId="25" fillId="0" fontId="4" numFmtId="0" xfId="0" applyBorder="1" applyFont="1"/>
    <xf borderId="4" fillId="0" fontId="10" numFmtId="0" xfId="0" applyBorder="1" applyFont="1"/>
    <xf borderId="2" fillId="0" fontId="10" numFmtId="0" xfId="0" applyAlignment="1" applyBorder="1" applyFont="1">
      <alignment horizontal="left" vertical="center"/>
    </xf>
    <xf borderId="2" fillId="0" fontId="10" numFmtId="0" xfId="0" applyAlignment="1" applyBorder="1" applyFont="1">
      <alignment horizontal="center"/>
    </xf>
    <xf borderId="4" fillId="0" fontId="10" numFmtId="0" xfId="0" applyAlignment="1" applyBorder="1" applyFont="1">
      <alignment horizontal="center"/>
    </xf>
    <xf borderId="21" fillId="0" fontId="10" numFmtId="0" xfId="0" applyAlignment="1" applyBorder="1" applyFont="1">
      <alignment horizontal="center"/>
    </xf>
    <xf borderId="5" fillId="0" fontId="10" numFmtId="0" xfId="0" applyAlignment="1" applyBorder="1" applyFont="1">
      <alignment horizontal="center"/>
    </xf>
    <xf borderId="8" fillId="0" fontId="6" numFmtId="0" xfId="0" applyAlignment="1" applyBorder="1" applyFont="1">
      <alignment horizontal="left" shrinkToFit="0" vertical="top" wrapText="1"/>
    </xf>
    <xf borderId="2" fillId="0" fontId="2" numFmtId="0" xfId="0" applyAlignment="1" applyBorder="1" applyFont="1">
      <alignment horizontal="left" vertical="top"/>
    </xf>
    <xf borderId="0" fillId="0" fontId="2" numFmtId="0" xfId="0" applyAlignment="1" applyFont="1">
      <alignment horizontal="left" vertical="top"/>
    </xf>
    <xf borderId="22" fillId="3" fontId="41" numFmtId="0" xfId="0" applyAlignment="1" applyBorder="1" applyFont="1">
      <alignment horizontal="center" shrinkToFit="0" vertical="top" wrapText="1"/>
    </xf>
    <xf borderId="2" fillId="0" fontId="5" numFmtId="0" xfId="0" applyBorder="1" applyFont="1"/>
    <xf borderId="26" fillId="3" fontId="2" numFmtId="0" xfId="0" applyAlignment="1" applyBorder="1" applyFont="1">
      <alignment horizontal="center" shrinkToFit="0" vertical="center" wrapText="1"/>
    </xf>
    <xf borderId="17" fillId="3" fontId="13" numFmtId="0" xfId="0" applyAlignment="1" applyBorder="1" applyFont="1">
      <alignment horizontal="center" shrinkToFit="0" vertical="center" wrapText="1"/>
    </xf>
    <xf borderId="27" fillId="0" fontId="4" numFmtId="0" xfId="0" applyBorder="1" applyFont="1"/>
    <xf borderId="2" fillId="0" fontId="9" numFmtId="0" xfId="0" applyAlignment="1" applyBorder="1" applyFont="1">
      <alignment horizontal="center" vertical="top"/>
    </xf>
    <xf borderId="28" fillId="0" fontId="4" numFmtId="0" xfId="0" applyBorder="1" applyFont="1"/>
    <xf borderId="4" fillId="0" fontId="9" numFmtId="0" xfId="0" applyAlignment="1" applyBorder="1" applyFont="1">
      <alignment horizontal="center"/>
    </xf>
    <xf borderId="0" fillId="0" fontId="9" numFmtId="0" xfId="0" applyAlignment="1" applyFont="1">
      <alignment horizontal="center" vertical="top"/>
    </xf>
    <xf borderId="0" fillId="0" fontId="9" numFmtId="0" xfId="0" applyAlignment="1" applyFont="1">
      <alignment horizontal="right"/>
    </xf>
    <xf borderId="22" fillId="3" fontId="34" numFmtId="0" xfId="0" applyAlignment="1" applyBorder="1" applyFont="1">
      <alignment horizontal="center" shrinkToFit="0" vertical="top" wrapText="1"/>
    </xf>
    <xf borderId="4" fillId="0" fontId="5" numFmtId="0" xfId="0" applyAlignment="1" applyBorder="1" applyFont="1">
      <alignment horizontal="center" vertical="top"/>
    </xf>
    <xf borderId="21" fillId="0" fontId="5" numFmtId="0" xfId="0" applyAlignment="1" applyBorder="1" applyFont="1">
      <alignment horizontal="center" vertical="top"/>
    </xf>
    <xf borderId="5" fillId="0" fontId="5" numFmtId="0" xfId="0" applyAlignment="1" applyBorder="1" applyFont="1">
      <alignment horizontal="center" vertical="top"/>
    </xf>
    <xf borderId="4" fillId="0" fontId="2" numFmtId="0" xfId="0" applyAlignment="1" applyBorder="1" applyFont="1">
      <alignment horizontal="left" vertical="top"/>
    </xf>
    <xf borderId="4" fillId="0" fontId="2" numFmtId="0" xfId="0" applyAlignment="1" applyBorder="1" applyFont="1">
      <alignment horizontal="center" vertical="center"/>
    </xf>
    <xf borderId="2" fillId="0" fontId="10" numFmtId="0" xfId="0" applyAlignment="1" applyBorder="1" applyFont="1">
      <alignment horizontal="right" shrinkToFit="0" vertical="top" wrapText="1"/>
    </xf>
    <xf borderId="2" fillId="0" fontId="10" numFmtId="2" xfId="0" applyAlignment="1" applyBorder="1" applyFont="1" applyNumberFormat="1">
      <alignment horizontal="center" vertical="center"/>
    </xf>
    <xf borderId="2" fillId="0" fontId="9" numFmtId="0" xfId="0" applyAlignment="1" applyBorder="1" applyFont="1">
      <alignment horizontal="left" vertical="top"/>
    </xf>
    <xf borderId="4" fillId="0" fontId="9" numFmtId="0" xfId="0" applyAlignment="1" applyBorder="1" applyFont="1">
      <alignment horizontal="center" vertical="top"/>
    </xf>
    <xf borderId="0" fillId="0" fontId="9" numFmtId="0" xfId="0" applyAlignment="1" applyFont="1">
      <alignment horizontal="left" vertical="top"/>
    </xf>
    <xf borderId="26" fillId="3" fontId="9" numFmtId="0" xfId="0" applyAlignment="1" applyBorder="1" applyFont="1">
      <alignment horizontal="center" shrinkToFit="0" vertical="center" wrapText="1"/>
    </xf>
    <xf borderId="0" fillId="0" fontId="42" numFmtId="0" xfId="0" applyAlignment="1" applyFont="1">
      <alignment vertical="center"/>
    </xf>
    <xf borderId="17" fillId="3" fontId="40" numFmtId="0" xfId="0" applyAlignment="1" applyBorder="1" applyFont="1">
      <alignment horizontal="center" shrinkToFit="0" vertical="center" wrapText="1"/>
    </xf>
    <xf borderId="2" fillId="0" fontId="10" numFmtId="2" xfId="0" applyAlignment="1" applyBorder="1" applyFont="1" applyNumberFormat="1">
      <alignment horizontal="center" shrinkToFit="0" vertical="center" wrapText="1"/>
    </xf>
    <xf borderId="21" fillId="0" fontId="5" numFmtId="0" xfId="0" applyAlignment="1" applyBorder="1" applyFont="1">
      <alignment horizontal="center"/>
    </xf>
    <xf borderId="5" fillId="0" fontId="5" numFmtId="0" xfId="0" applyAlignment="1" applyBorder="1" applyFont="1">
      <alignment horizontal="center"/>
    </xf>
    <xf borderId="2" fillId="0" fontId="10" numFmtId="0" xfId="0" applyAlignment="1" applyBorder="1" applyFont="1">
      <alignment horizontal="center" shrinkToFit="0" vertical="top" wrapText="1"/>
    </xf>
    <xf borderId="2" fillId="0" fontId="2" numFmtId="0" xfId="0" applyAlignment="1" applyBorder="1" applyFont="1">
      <alignment horizontal="left" shrinkToFit="0" vertical="top" wrapText="1"/>
    </xf>
    <xf borderId="2" fillId="0" fontId="2" numFmtId="0" xfId="0" applyAlignment="1" applyBorder="1" applyFont="1">
      <alignment horizontal="center" shrinkToFit="0" vertical="top" wrapText="1"/>
    </xf>
    <xf borderId="0" fillId="0" fontId="10" numFmtId="0" xfId="0" applyAlignment="1" applyFont="1">
      <alignment horizontal="center" shrinkToFit="0" vertical="top" wrapText="1"/>
    </xf>
    <xf borderId="0" fillId="0" fontId="6" numFmtId="0" xfId="0" applyAlignment="1" applyFont="1">
      <alignment shrinkToFit="0" vertical="top" wrapText="1"/>
    </xf>
    <xf borderId="0" fillId="0" fontId="10" numFmtId="0" xfId="0" applyAlignment="1" applyFont="1">
      <alignment horizontal="left" shrinkToFit="0" wrapText="1"/>
    </xf>
    <xf borderId="0" fillId="0" fontId="10" numFmtId="0" xfId="0" applyAlignment="1" applyFont="1">
      <alignment horizontal="center"/>
    </xf>
    <xf borderId="2" fillId="0" fontId="2" numFmtId="0" xfId="0" applyAlignment="1" applyBorder="1" applyFont="1">
      <alignment horizontal="left" vertical="center"/>
    </xf>
    <xf borderId="4" fillId="0" fontId="9" numFmtId="0" xfId="0" applyAlignment="1" applyBorder="1" applyFont="1">
      <alignment horizontal="center" vertical="center"/>
    </xf>
    <xf borderId="2" fillId="0" fontId="3" numFmtId="0" xfId="0" applyAlignment="1" applyBorder="1" applyFont="1">
      <alignment horizontal="left" vertical="center"/>
    </xf>
    <xf borderId="2" fillId="0" fontId="5" numFmtId="0" xfId="0" applyAlignment="1" applyBorder="1" applyFont="1">
      <alignment horizontal="right" shrinkToFit="0" vertical="top" wrapText="1"/>
    </xf>
    <xf borderId="8" fillId="0" fontId="3" numFmtId="0" xfId="0" applyAlignment="1" applyBorder="1" applyFont="1">
      <alignment horizontal="left" vertical="center"/>
    </xf>
    <xf borderId="7" fillId="0" fontId="10" numFmtId="0" xfId="0" applyAlignment="1" applyBorder="1" applyFont="1">
      <alignment horizontal="left" vertical="top"/>
    </xf>
    <xf borderId="3" fillId="0" fontId="3" numFmtId="0" xfId="0" applyAlignment="1" applyBorder="1" applyFont="1">
      <alignment horizontal="left" vertical="center"/>
    </xf>
    <xf borderId="2" fillId="0" fontId="5" numFmtId="2" xfId="0" applyAlignment="1" applyBorder="1" applyFont="1" applyNumberFormat="1">
      <alignment horizontal="center" vertical="center"/>
    </xf>
    <xf borderId="0" fillId="0" fontId="10" numFmtId="0" xfId="0" applyAlignment="1" applyFont="1">
      <alignment vertical="top"/>
    </xf>
    <xf borderId="0" fillId="0" fontId="10" numFmtId="0" xfId="0" applyAlignment="1" applyFont="1">
      <alignment horizontal="left" vertical="top"/>
    </xf>
    <xf borderId="0" fillId="0" fontId="10" numFmtId="0" xfId="0" applyAlignment="1" applyFont="1">
      <alignment horizontal="left" shrinkToFit="0" vertical="top" wrapText="1"/>
    </xf>
    <xf borderId="7" fillId="0" fontId="2" numFmtId="0" xfId="0" applyBorder="1" applyFont="1"/>
    <xf borderId="7" fillId="0" fontId="2" numFmtId="0" xfId="0" applyAlignment="1" applyBorder="1" applyFont="1">
      <alignment vertical="top"/>
    </xf>
    <xf borderId="6" fillId="0" fontId="2" numFmtId="0" xfId="0" applyBorder="1" applyFont="1"/>
    <xf borderId="0" fillId="0" fontId="2" numFmtId="0" xfId="0" applyFont="1"/>
    <xf borderId="0" fillId="0" fontId="10" numFmtId="0" xfId="0" applyFont="1"/>
    <xf borderId="12" fillId="0" fontId="2" numFmtId="0" xfId="0" applyBorder="1" applyFont="1"/>
    <xf borderId="13" fillId="0" fontId="10" numFmtId="15" xfId="0" applyBorder="1" applyFont="1" applyNumberFormat="1"/>
    <xf borderId="2" fillId="0" fontId="5" numFmtId="2" xfId="0" applyAlignment="1" applyBorder="1" applyFont="1" applyNumberFormat="1">
      <alignment horizontal="center" shrinkToFit="0" vertical="center" wrapText="1"/>
    </xf>
    <xf borderId="0" fillId="0" fontId="5" numFmtId="0" xfId="0" applyAlignment="1" applyFont="1">
      <alignment horizontal="left"/>
    </xf>
    <xf borderId="2" fillId="0" fontId="9" numFmtId="0" xfId="0" applyAlignment="1" applyBorder="1" applyFont="1">
      <alignment horizontal="left" shrinkToFit="0" vertical="top" wrapText="1"/>
    </xf>
    <xf borderId="2" fillId="0" fontId="9" numFmtId="0" xfId="0" applyAlignment="1" applyBorder="1" applyFont="1">
      <alignment horizontal="center" shrinkToFit="0" vertical="top" wrapText="1"/>
    </xf>
    <xf borderId="0" fillId="0" fontId="9" numFmtId="0" xfId="0" applyAlignment="1" applyFont="1">
      <alignment horizontal="center" shrinkToFit="0" vertical="top" wrapText="1"/>
    </xf>
    <xf borderId="0" fillId="0" fontId="5" numFmtId="0" xfId="0" applyAlignment="1" applyFont="1">
      <alignment horizontal="center" shrinkToFit="0" vertical="top" wrapText="1"/>
    </xf>
    <xf borderId="0" fillId="0" fontId="5" numFmtId="0" xfId="0" applyAlignment="1" applyFont="1">
      <alignment horizontal="left" shrinkToFit="0" wrapText="1"/>
    </xf>
    <xf borderId="0" fillId="0" fontId="5" numFmtId="0" xfId="0" applyAlignment="1" applyFont="1">
      <alignment horizontal="center"/>
    </xf>
    <xf borderId="2" fillId="0" fontId="9" numFmtId="0" xfId="0" applyAlignment="1" applyBorder="1" applyFont="1">
      <alignment horizontal="left" vertical="center"/>
    </xf>
    <xf borderId="8" fillId="0" fontId="9" numFmtId="0" xfId="0" applyAlignment="1" applyBorder="1" applyFont="1">
      <alignment horizontal="left" vertical="center"/>
    </xf>
    <xf borderId="7" fillId="0" fontId="5" numFmtId="0" xfId="0" applyAlignment="1" applyBorder="1" applyFont="1">
      <alignment horizontal="left" vertical="top"/>
    </xf>
    <xf borderId="3" fillId="0" fontId="9" numFmtId="0" xfId="0" applyAlignment="1" applyBorder="1" applyFont="1">
      <alignment horizontal="left" vertical="center"/>
    </xf>
    <xf borderId="0" fillId="0" fontId="5" numFmtId="0" xfId="0" applyAlignment="1" applyFont="1">
      <alignment horizontal="left" vertical="top"/>
    </xf>
    <xf borderId="0" fillId="0" fontId="5" numFmtId="0" xfId="0" applyAlignment="1" applyFont="1">
      <alignment horizontal="left" shrinkToFit="0" vertical="top" wrapText="1"/>
    </xf>
    <xf borderId="7" fillId="0" fontId="9" numFmtId="0" xfId="0" applyBorder="1" applyFont="1"/>
    <xf borderId="7" fillId="0" fontId="9" numFmtId="0" xfId="0" applyAlignment="1" applyBorder="1" applyFont="1">
      <alignment vertical="top"/>
    </xf>
    <xf borderId="6" fillId="0" fontId="9" numFmtId="0" xfId="0" applyBorder="1" applyFont="1"/>
    <xf borderId="0" fillId="0" fontId="9" numFmtId="0" xfId="0" applyFont="1"/>
    <xf borderId="12" fillId="0" fontId="9" numFmtId="0" xfId="0" applyBorder="1" applyFont="1"/>
    <xf borderId="13" fillId="0" fontId="5" numFmtId="0" xfId="0" applyBorder="1" applyFont="1"/>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CI Checklis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jpg"/><Relationship Id="rId3" Type="http://schemas.openxmlformats.org/officeDocument/2006/relationships/image" Target="../media/image2.jpg"/><Relationship Id="rId4" Type="http://schemas.openxmlformats.org/officeDocument/2006/relationships/image" Target="../media/image3.jp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jpg"/><Relationship Id="rId3" Type="http://schemas.openxmlformats.org/officeDocument/2006/relationships/image" Target="../media/image2.jpg"/><Relationship Id="rId4"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jpg"/><Relationship Id="rId3" Type="http://schemas.openxmlformats.org/officeDocument/2006/relationships/image" Target="../media/image2.jpg"/><Relationship Id="rId4"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133350</xdr:colOff>
      <xdr:row>1</xdr:row>
      <xdr:rowOff>19050</xdr:rowOff>
    </xdr:from>
    <xdr:ext cx="1095375" cy="400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171450</xdr:colOff>
      <xdr:row>1</xdr:row>
      <xdr:rowOff>381000</xdr:rowOff>
    </xdr:from>
    <xdr:ext cx="714375" cy="180975"/>
    <xdr:pic>
      <xdr:nvPicPr>
        <xdr:cNvPr id="0" name="image4.jpg"/>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600075</xdr:colOff>
      <xdr:row>1</xdr:row>
      <xdr:rowOff>381000</xdr:rowOff>
    </xdr:from>
    <xdr:ext cx="657225" cy="180975"/>
    <xdr:pic>
      <xdr:nvPicPr>
        <xdr:cNvPr id="0" name="image2.jp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333375</xdr:colOff>
      <xdr:row>1</xdr:row>
      <xdr:rowOff>381000</xdr:rowOff>
    </xdr:from>
    <xdr:ext cx="600075" cy="180975"/>
    <xdr:pic>
      <xdr:nvPicPr>
        <xdr:cNvPr id="0" name="image3.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133350</xdr:colOff>
      <xdr:row>1</xdr:row>
      <xdr:rowOff>19050</xdr:rowOff>
    </xdr:from>
    <xdr:ext cx="1095375" cy="400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171450</xdr:colOff>
      <xdr:row>1</xdr:row>
      <xdr:rowOff>381000</xdr:rowOff>
    </xdr:from>
    <xdr:ext cx="714375" cy="180975"/>
    <xdr:pic>
      <xdr:nvPicPr>
        <xdr:cNvPr id="0" name="image4.jpg"/>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600075</xdr:colOff>
      <xdr:row>1</xdr:row>
      <xdr:rowOff>381000</xdr:rowOff>
    </xdr:from>
    <xdr:ext cx="657225" cy="180975"/>
    <xdr:pic>
      <xdr:nvPicPr>
        <xdr:cNvPr id="0" name="image2.jp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333375</xdr:colOff>
      <xdr:row>1</xdr:row>
      <xdr:rowOff>381000</xdr:rowOff>
    </xdr:from>
    <xdr:ext cx="600075" cy="180975"/>
    <xdr:pic>
      <xdr:nvPicPr>
        <xdr:cNvPr id="0" name="image3.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428625</xdr:colOff>
      <xdr:row>40</xdr:row>
      <xdr:rowOff>400050</xdr:rowOff>
    </xdr:from>
    <xdr:ext cx="1247775" cy="38100"/>
    <xdr:grpSp>
      <xdr:nvGrpSpPr>
        <xdr:cNvPr id="2" name="Shape 2"/>
        <xdr:cNvGrpSpPr/>
      </xdr:nvGrpSpPr>
      <xdr:grpSpPr>
        <a:xfrm>
          <a:off x="4722113" y="3780000"/>
          <a:ext cx="1247775" cy="0"/>
          <a:chOff x="4722113" y="3780000"/>
          <a:chExt cx="1247775" cy="0"/>
        </a:xfrm>
      </xdr:grpSpPr>
      <xdr:cxnSp>
        <xdr:nvCxnSpPr>
          <xdr:cNvPr id="3" name="Shape 3"/>
          <xdr:cNvCxnSpPr/>
        </xdr:nvCxnSpPr>
        <xdr:spPr>
          <a:xfrm>
            <a:off x="4722113" y="3780000"/>
            <a:ext cx="1247775" cy="0"/>
          </a:xfrm>
          <a:prstGeom prst="straightConnector1">
            <a:avLst/>
          </a:prstGeom>
          <a:noFill/>
          <a:ln cap="flat" cmpd="sng" w="9525">
            <a:solidFill>
              <a:schemeClr val="accent1"/>
            </a:solidFill>
            <a:prstDash val="solid"/>
            <a:miter lim="8000"/>
            <a:headEnd len="sm" w="sm" type="none"/>
            <a:tailEnd len="sm" w="sm" type="none"/>
          </a:ln>
        </xdr:spPr>
      </xdr:cxnSp>
    </xdr:grpSp>
    <xdr:clientData fLocksWithSheet="0"/>
  </xdr:oneCellAnchor>
  <xdr:oneCellAnchor>
    <xdr:from>
      <xdr:col>20</xdr:col>
      <xdr:colOff>19050</xdr:colOff>
      <xdr:row>40</xdr:row>
      <xdr:rowOff>228600</xdr:rowOff>
    </xdr:from>
    <xdr:ext cx="5057775" cy="809625"/>
    <xdr:sp>
      <xdr:nvSpPr>
        <xdr:cNvPr id="4" name="Shape 4"/>
        <xdr:cNvSpPr txBox="1"/>
      </xdr:nvSpPr>
      <xdr:spPr>
        <a:xfrm>
          <a:off x="2821875" y="3379950"/>
          <a:ext cx="5048250" cy="800100"/>
        </a:xfrm>
        <a:prstGeom prst="rect">
          <a:avLst/>
        </a:prstGeom>
        <a:solidFill>
          <a:srgbClr val="FBE4D4"/>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Includes reading, discussion with friends/</a:t>
          </a:r>
          <a:r>
            <a:rPr lang="en-US" sz="1100">
              <a:solidFill>
                <a:schemeClr val="dk1"/>
              </a:solidFill>
              <a:latin typeface="Calibri"/>
              <a:ea typeface="Calibri"/>
              <a:cs typeface="Calibri"/>
              <a:sym typeface="Calibri"/>
            </a:rPr>
            <a:t> any learning activities conducted </a:t>
          </a:r>
          <a:r>
            <a:rPr b="1" lang="en-US" sz="1100">
              <a:solidFill>
                <a:schemeClr val="dk1"/>
              </a:solidFill>
              <a:latin typeface="Calibri"/>
              <a:ea typeface="Calibri"/>
              <a:cs typeface="Calibri"/>
              <a:sym typeface="Calibri"/>
            </a:rPr>
            <a:t>independently</a:t>
          </a:r>
          <a:r>
            <a:rPr lang="en-US" sz="1100">
              <a:solidFill>
                <a:schemeClr val="dk1"/>
              </a:solidFill>
              <a:latin typeface="Calibri"/>
              <a:ea typeface="Calibri"/>
              <a:cs typeface="Calibri"/>
              <a:sym typeface="Calibri"/>
            </a:rPr>
            <a:t> </a:t>
          </a:r>
          <a:endParaRPr sz="1100"/>
        </a:p>
      </xdr:txBody>
    </xdr:sp>
    <xdr:clientData fLocksWithSheet="0"/>
  </xdr:oneCellAnchor>
  <xdr:oneCellAnchor>
    <xdr:from>
      <xdr:col>16</xdr:col>
      <xdr:colOff>714375</xdr:colOff>
      <xdr:row>41</xdr:row>
      <xdr:rowOff>0</xdr:rowOff>
    </xdr:from>
    <xdr:ext cx="1714500" cy="847725"/>
    <xdr:grpSp>
      <xdr:nvGrpSpPr>
        <xdr:cNvPr id="2" name="Shape 2"/>
        <xdr:cNvGrpSpPr/>
      </xdr:nvGrpSpPr>
      <xdr:grpSpPr>
        <a:xfrm>
          <a:off x="4493513" y="3360900"/>
          <a:ext cx="1704975" cy="838200"/>
          <a:chOff x="4493513" y="3360900"/>
          <a:chExt cx="1704975" cy="838200"/>
        </a:xfrm>
      </xdr:grpSpPr>
      <xdr:cxnSp>
        <xdr:nvCxnSpPr>
          <xdr:cNvPr id="5" name="Shape 5"/>
          <xdr:cNvCxnSpPr/>
        </xdr:nvCxnSpPr>
        <xdr:spPr>
          <a:xfrm>
            <a:off x="4493513" y="3360900"/>
            <a:ext cx="1704975" cy="838200"/>
          </a:xfrm>
          <a:prstGeom prst="straightConnector1">
            <a:avLst/>
          </a:prstGeom>
          <a:noFill/>
          <a:ln cap="flat" cmpd="sng" w="9525">
            <a:solidFill>
              <a:schemeClr val="accent1"/>
            </a:solidFill>
            <a:prstDash val="solid"/>
            <a:miter lim="8000"/>
            <a:headEnd len="sm" w="sm" type="none"/>
            <a:tailEnd len="sm" w="sm" type="none"/>
          </a:ln>
        </xdr:spPr>
      </xdr:cxnSp>
    </xdr:grpSp>
    <xdr:clientData fLocksWithSheet="0"/>
  </xdr:oneCellAnchor>
  <xdr:oneCellAnchor>
    <xdr:from>
      <xdr:col>20</xdr:col>
      <xdr:colOff>19050</xdr:colOff>
      <xdr:row>44</xdr:row>
      <xdr:rowOff>0</xdr:rowOff>
    </xdr:from>
    <xdr:ext cx="5048250" cy="1171575"/>
    <xdr:sp>
      <xdr:nvSpPr>
        <xdr:cNvPr id="6" name="Shape 6"/>
        <xdr:cNvSpPr txBox="1"/>
      </xdr:nvSpPr>
      <xdr:spPr>
        <a:xfrm>
          <a:off x="2826638" y="3198975"/>
          <a:ext cx="5038725" cy="1162050"/>
        </a:xfrm>
        <a:prstGeom prst="rect">
          <a:avLst/>
        </a:prstGeom>
        <a:solidFill>
          <a:srgbClr val="FBE4D4"/>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Includes online forum discussion tasks assigned to students,</a:t>
          </a:r>
          <a:r>
            <a:rPr lang="en-US" sz="1100">
              <a:solidFill>
                <a:schemeClr val="dk1"/>
              </a:solidFill>
              <a:latin typeface="Calibri"/>
              <a:ea typeface="Calibri"/>
              <a:cs typeface="Calibri"/>
              <a:sym typeface="Calibri"/>
            </a:rPr>
            <a:t> online homework, pre-recorded video that has to be watched online </a:t>
          </a:r>
          <a:r>
            <a:rPr b="1" lang="en-US" sz="1100">
              <a:solidFill>
                <a:schemeClr val="dk1"/>
              </a:solidFill>
              <a:latin typeface="Calibri"/>
              <a:ea typeface="Calibri"/>
              <a:cs typeface="Calibri"/>
              <a:sym typeface="Calibri"/>
            </a:rPr>
            <a:t>independently</a:t>
          </a:r>
          <a:endParaRPr b="1" sz="1100"/>
        </a:p>
      </xdr:txBody>
    </xdr:sp>
    <xdr:clientData fLocksWithSheet="0"/>
  </xdr:oneCellAnchor>
  <xdr:oneCellAnchor>
    <xdr:from>
      <xdr:col>14</xdr:col>
      <xdr:colOff>19050</xdr:colOff>
      <xdr:row>40</xdr:row>
      <xdr:rowOff>447675</xdr:rowOff>
    </xdr:from>
    <xdr:ext cx="3076575" cy="2247900"/>
    <xdr:grpSp>
      <xdr:nvGrpSpPr>
        <xdr:cNvPr id="2" name="Shape 2"/>
        <xdr:cNvGrpSpPr/>
      </xdr:nvGrpSpPr>
      <xdr:grpSpPr>
        <a:xfrm>
          <a:off x="3812475" y="2660813"/>
          <a:ext cx="3067050" cy="2238375"/>
          <a:chOff x="3812475" y="2660813"/>
          <a:chExt cx="3067050" cy="2238375"/>
        </a:xfrm>
      </xdr:grpSpPr>
      <xdr:cxnSp>
        <xdr:nvCxnSpPr>
          <xdr:cNvPr id="7" name="Shape 7"/>
          <xdr:cNvCxnSpPr/>
        </xdr:nvCxnSpPr>
        <xdr:spPr>
          <a:xfrm>
            <a:off x="3812475" y="2660813"/>
            <a:ext cx="3067050" cy="2238375"/>
          </a:xfrm>
          <a:prstGeom prst="straightConnector1">
            <a:avLst/>
          </a:prstGeom>
          <a:noFill/>
          <a:ln cap="flat" cmpd="sng" w="9525">
            <a:solidFill>
              <a:schemeClr val="accent1"/>
            </a:solidFill>
            <a:prstDash val="solid"/>
            <a:miter lim="8000"/>
            <a:headEnd len="sm" w="sm" type="none"/>
            <a:tailEnd len="sm" w="sm" type="none"/>
          </a:ln>
        </xdr:spPr>
      </xdr:cxnSp>
    </xdr:grpSp>
    <xdr:clientData fLocksWithSheet="0"/>
  </xdr:oneCellAnchor>
  <xdr:oneCellAnchor>
    <xdr:from>
      <xdr:col>20</xdr:col>
      <xdr:colOff>19050</xdr:colOff>
      <xdr:row>49</xdr:row>
      <xdr:rowOff>19050</xdr:rowOff>
    </xdr:from>
    <xdr:ext cx="5048250" cy="1171575"/>
    <xdr:sp>
      <xdr:nvSpPr>
        <xdr:cNvPr id="8" name="Shape 8"/>
        <xdr:cNvSpPr txBox="1"/>
      </xdr:nvSpPr>
      <xdr:spPr>
        <a:xfrm>
          <a:off x="2826638" y="3198975"/>
          <a:ext cx="5038725" cy="1162050"/>
        </a:xfrm>
        <a:prstGeom prst="rect">
          <a:avLst/>
        </a:prstGeom>
        <a:solidFill>
          <a:srgbClr val="FBE4D4"/>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Includes synchronous</a:t>
          </a:r>
          <a:r>
            <a:rPr lang="en-US" sz="1100">
              <a:solidFill>
                <a:schemeClr val="dk1"/>
              </a:solidFill>
              <a:latin typeface="Calibri"/>
              <a:ea typeface="Calibri"/>
              <a:cs typeface="Calibri"/>
              <a:sym typeface="Calibri"/>
            </a:rPr>
            <a:t> lecture, in-class online activities, in-class online quiz that is </a:t>
          </a:r>
          <a:r>
            <a:rPr b="1" lang="en-US" sz="1100">
              <a:solidFill>
                <a:schemeClr val="dk1"/>
              </a:solidFill>
              <a:latin typeface="Calibri"/>
              <a:ea typeface="Calibri"/>
              <a:cs typeface="Calibri"/>
              <a:sym typeface="Calibri"/>
            </a:rPr>
            <a:t>guided by the instructor</a:t>
          </a:r>
          <a:endParaRPr b="1" sz="1100"/>
        </a:p>
      </xdr:txBody>
    </xdr:sp>
    <xdr:clientData fLocksWithSheet="0"/>
  </xdr:oneCellAnchor>
  <xdr:oneCellAnchor>
    <xdr:from>
      <xdr:col>10</xdr:col>
      <xdr:colOff>104775</xdr:colOff>
      <xdr:row>40</xdr:row>
      <xdr:rowOff>447675</xdr:rowOff>
    </xdr:from>
    <xdr:ext cx="3771900" cy="3514725"/>
    <xdr:grpSp>
      <xdr:nvGrpSpPr>
        <xdr:cNvPr id="2" name="Shape 2"/>
        <xdr:cNvGrpSpPr/>
      </xdr:nvGrpSpPr>
      <xdr:grpSpPr>
        <a:xfrm>
          <a:off x="3464813" y="2027400"/>
          <a:ext cx="3762375" cy="3505200"/>
          <a:chOff x="3464813" y="2027400"/>
          <a:chExt cx="3762375" cy="3505200"/>
        </a:xfrm>
      </xdr:grpSpPr>
      <xdr:cxnSp>
        <xdr:nvCxnSpPr>
          <xdr:cNvPr id="9" name="Shape 9"/>
          <xdr:cNvCxnSpPr/>
        </xdr:nvCxnSpPr>
        <xdr:spPr>
          <a:xfrm>
            <a:off x="3464813" y="2027400"/>
            <a:ext cx="3762375" cy="3505200"/>
          </a:xfrm>
          <a:prstGeom prst="straightConnector1">
            <a:avLst/>
          </a:prstGeom>
          <a:noFill/>
          <a:ln cap="flat" cmpd="sng" w="9525">
            <a:solidFill>
              <a:schemeClr val="accent1"/>
            </a:solidFill>
            <a:prstDash val="solid"/>
            <a:miter lim="8000"/>
            <a:headEnd len="sm" w="sm" type="none"/>
            <a:tailEnd len="sm" w="sm" type="none"/>
          </a:ln>
        </xdr:spPr>
      </xdr:cxnSp>
    </xdr:grpSp>
    <xdr:clientData fLocksWithSheet="0"/>
  </xdr:oneCellAnchor>
  <xdr:oneCellAnchor>
    <xdr:from>
      <xdr:col>20</xdr:col>
      <xdr:colOff>19050</xdr:colOff>
      <xdr:row>54</xdr:row>
      <xdr:rowOff>47625</xdr:rowOff>
    </xdr:from>
    <xdr:ext cx="5048250" cy="1085850"/>
    <xdr:sp>
      <xdr:nvSpPr>
        <xdr:cNvPr id="10" name="Shape 10"/>
        <xdr:cNvSpPr txBox="1"/>
      </xdr:nvSpPr>
      <xdr:spPr>
        <a:xfrm>
          <a:off x="2826638" y="3241838"/>
          <a:ext cx="5038725" cy="1076325"/>
        </a:xfrm>
        <a:prstGeom prst="rect">
          <a:avLst/>
        </a:prstGeom>
        <a:solidFill>
          <a:srgbClr val="FBE4D4"/>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Includes face-to-face physical</a:t>
          </a:r>
          <a:r>
            <a:rPr lang="en-US" sz="1100">
              <a:solidFill>
                <a:schemeClr val="dk1"/>
              </a:solidFill>
              <a:latin typeface="Calibri"/>
              <a:ea typeface="Calibri"/>
              <a:cs typeface="Calibri"/>
              <a:sym typeface="Calibri"/>
            </a:rPr>
            <a:t> lecture, in-class face-to-face activities, in-class assessment that is </a:t>
          </a:r>
          <a:r>
            <a:rPr b="1" lang="en-US" sz="1100">
              <a:solidFill>
                <a:schemeClr val="dk1"/>
              </a:solidFill>
              <a:latin typeface="Calibri"/>
              <a:ea typeface="Calibri"/>
              <a:cs typeface="Calibri"/>
              <a:sym typeface="Calibri"/>
            </a:rPr>
            <a:t>guided by the instructor</a:t>
          </a:r>
          <a:endParaRPr b="1" sz="1100"/>
        </a:p>
      </xdr:txBody>
    </xdr:sp>
    <xdr:clientData fLocksWithSheet="0"/>
  </xdr:oneCellAnchor>
  <xdr:oneCellAnchor>
    <xdr:from>
      <xdr:col>7</xdr:col>
      <xdr:colOff>152400</xdr:colOff>
      <xdr:row>40</xdr:row>
      <xdr:rowOff>533400</xdr:rowOff>
    </xdr:from>
    <xdr:ext cx="847725" cy="228600"/>
    <xdr:sp>
      <xdr:nvSpPr>
        <xdr:cNvPr id="11" name="Shape 11"/>
        <xdr:cNvSpPr/>
      </xdr:nvSpPr>
      <xdr:spPr>
        <a:xfrm>
          <a:off x="4931663" y="3670463"/>
          <a:ext cx="828675" cy="219075"/>
        </a:xfrm>
        <a:prstGeom prst="rect">
          <a:avLst/>
        </a:prstGeom>
        <a:noFill/>
        <a:ln cap="flat" cmpd="sng" w="12700">
          <a:solidFill>
            <a:srgbClr val="C0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9</xdr:col>
      <xdr:colOff>180975</xdr:colOff>
      <xdr:row>36</xdr:row>
      <xdr:rowOff>114300</xdr:rowOff>
    </xdr:from>
    <xdr:ext cx="3905250" cy="1533525"/>
    <xdr:grpSp>
      <xdr:nvGrpSpPr>
        <xdr:cNvPr id="2" name="Shape 2"/>
        <xdr:cNvGrpSpPr/>
      </xdr:nvGrpSpPr>
      <xdr:grpSpPr>
        <a:xfrm>
          <a:off x="3398138" y="3018000"/>
          <a:ext cx="3895800" cy="1524000"/>
          <a:chOff x="3398138" y="3018000"/>
          <a:chExt cx="3895800" cy="1524000"/>
        </a:xfrm>
      </xdr:grpSpPr>
      <xdr:cxnSp>
        <xdr:nvCxnSpPr>
          <xdr:cNvPr id="12" name="Shape 12"/>
          <xdr:cNvCxnSpPr>
            <a:stCxn id="11" idx="0"/>
          </xdr:cNvCxnSpPr>
        </xdr:nvCxnSpPr>
        <xdr:spPr>
          <a:xfrm flipH="1" rot="10800000">
            <a:off x="3398138" y="3018000"/>
            <a:ext cx="3895800" cy="1524000"/>
          </a:xfrm>
          <a:prstGeom prst="bentConnector2">
            <a:avLst/>
          </a:prstGeom>
          <a:noFill/>
          <a:ln cap="flat" cmpd="sng" w="9525">
            <a:solidFill>
              <a:schemeClr val="accent1"/>
            </a:solidFill>
            <a:prstDash val="solid"/>
            <a:miter lim="8000"/>
            <a:headEnd len="sm" w="sm" type="none"/>
            <a:tailEnd len="med" w="med" type="triangle"/>
          </a:ln>
        </xdr:spPr>
      </xdr:cxnSp>
    </xdr:grpSp>
    <xdr:clientData fLocksWithSheet="0"/>
  </xdr:oneCellAnchor>
  <xdr:oneCellAnchor>
    <xdr:from>
      <xdr:col>20</xdr:col>
      <xdr:colOff>28575</xdr:colOff>
      <xdr:row>36</xdr:row>
      <xdr:rowOff>0</xdr:rowOff>
    </xdr:from>
    <xdr:ext cx="5057775" cy="790575"/>
    <xdr:sp>
      <xdr:nvSpPr>
        <xdr:cNvPr id="13" name="Shape 13"/>
        <xdr:cNvSpPr txBox="1"/>
      </xdr:nvSpPr>
      <xdr:spPr>
        <a:xfrm>
          <a:off x="2821875" y="3389475"/>
          <a:ext cx="5048250" cy="781050"/>
        </a:xfrm>
        <a:prstGeom prst="rect">
          <a:avLst/>
        </a:prstGeom>
        <a:solidFill>
          <a:srgbClr val="FBE4D4"/>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chemeClr val="dk1"/>
              </a:solidFill>
              <a:latin typeface="Calibri"/>
              <a:ea typeface="Calibri"/>
              <a:cs typeface="Calibri"/>
              <a:sym typeface="Calibri"/>
            </a:rPr>
            <a:t>L</a:t>
          </a:r>
          <a:r>
            <a:rPr lang="en-US" sz="1100">
              <a:solidFill>
                <a:schemeClr val="dk1"/>
              </a:solidFill>
              <a:latin typeface="Calibri"/>
              <a:ea typeface="Calibri"/>
              <a:cs typeface="Calibri"/>
              <a:sym typeface="Calibri"/>
            </a:rPr>
            <a:t> = Lecture</a:t>
          </a:r>
          <a:endParaRPr sz="1400"/>
        </a:p>
        <a:p>
          <a:pPr indent="0" lvl="0" marL="0" rtl="0" algn="l">
            <a:spcBef>
              <a:spcPts val="0"/>
            </a:spcBef>
            <a:spcAft>
              <a:spcPts val="0"/>
            </a:spcAft>
            <a:buNone/>
          </a:pPr>
          <a:r>
            <a:rPr b="1" lang="en-US" sz="1100">
              <a:solidFill>
                <a:schemeClr val="dk1"/>
              </a:solidFill>
              <a:latin typeface="Calibri"/>
              <a:ea typeface="Calibri"/>
              <a:cs typeface="Calibri"/>
              <a:sym typeface="Calibri"/>
            </a:rPr>
            <a:t>T</a:t>
          </a:r>
          <a:r>
            <a:rPr lang="en-US" sz="1100">
              <a:solidFill>
                <a:schemeClr val="dk1"/>
              </a:solidFill>
              <a:latin typeface="Calibri"/>
              <a:ea typeface="Calibri"/>
              <a:cs typeface="Calibri"/>
              <a:sym typeface="Calibri"/>
            </a:rPr>
            <a:t>= Tutorial</a:t>
          </a:r>
          <a:endParaRPr sz="1400"/>
        </a:p>
        <a:p>
          <a:pPr indent="0" lvl="0" marL="0" rtl="0" algn="l">
            <a:spcBef>
              <a:spcPts val="0"/>
            </a:spcBef>
            <a:spcAft>
              <a:spcPts val="0"/>
            </a:spcAft>
            <a:buNone/>
          </a:pPr>
          <a:r>
            <a:rPr b="1" lang="en-US" sz="1100">
              <a:solidFill>
                <a:schemeClr val="dk1"/>
              </a:solidFill>
              <a:latin typeface="Calibri"/>
              <a:ea typeface="Calibri"/>
              <a:cs typeface="Calibri"/>
              <a:sym typeface="Calibri"/>
            </a:rPr>
            <a:t>P</a:t>
          </a:r>
          <a:r>
            <a:rPr lang="en-US" sz="1100">
              <a:solidFill>
                <a:schemeClr val="dk1"/>
              </a:solidFill>
              <a:latin typeface="Calibri"/>
              <a:ea typeface="Calibri"/>
              <a:cs typeface="Calibri"/>
              <a:sym typeface="Calibri"/>
            </a:rPr>
            <a:t>= Practical</a:t>
          </a:r>
          <a:endParaRPr sz="1400"/>
        </a:p>
        <a:p>
          <a:pPr indent="0" lvl="0" marL="0" rtl="0" algn="l">
            <a:spcBef>
              <a:spcPts val="0"/>
            </a:spcBef>
            <a:spcAft>
              <a:spcPts val="0"/>
            </a:spcAft>
            <a:buNone/>
          </a:pPr>
          <a:r>
            <a:rPr b="1" lang="en-US" sz="1100">
              <a:solidFill>
                <a:schemeClr val="dk1"/>
              </a:solidFill>
              <a:latin typeface="Calibri"/>
              <a:ea typeface="Calibri"/>
              <a:cs typeface="Calibri"/>
              <a:sym typeface="Calibri"/>
            </a:rPr>
            <a:t>O</a:t>
          </a:r>
          <a:r>
            <a:rPr lang="en-US" sz="1100">
              <a:solidFill>
                <a:schemeClr val="dk1"/>
              </a:solidFill>
              <a:latin typeface="Calibri"/>
              <a:ea typeface="Calibri"/>
              <a:cs typeface="Calibri"/>
              <a:sym typeface="Calibri"/>
            </a:rPr>
            <a:t>= Others</a:t>
          </a:r>
          <a:endParaRPr sz="1400"/>
        </a:p>
      </xdr:txBody>
    </xdr:sp>
    <xdr:clientData fLocksWithSheet="0"/>
  </xdr:oneCellAnchor>
  <xdr:oneCellAnchor>
    <xdr:from>
      <xdr:col>20</xdr:col>
      <xdr:colOff>19050</xdr:colOff>
      <xdr:row>60</xdr:row>
      <xdr:rowOff>152400</xdr:rowOff>
    </xdr:from>
    <xdr:ext cx="5410200" cy="838200"/>
    <xdr:sp>
      <xdr:nvSpPr>
        <xdr:cNvPr id="14" name="Shape 14"/>
        <xdr:cNvSpPr txBox="1"/>
      </xdr:nvSpPr>
      <xdr:spPr>
        <a:xfrm>
          <a:off x="2645663" y="3365663"/>
          <a:ext cx="5400675" cy="828675"/>
        </a:xfrm>
        <a:prstGeom prst="rect">
          <a:avLst/>
        </a:prstGeom>
        <a:solidFill>
          <a:srgbClr val="DDEAF6"/>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Time</a:t>
          </a:r>
          <a:r>
            <a:rPr lang="en-US" sz="1100">
              <a:solidFill>
                <a:schemeClr val="dk1"/>
              </a:solidFill>
              <a:latin typeface="Calibri"/>
              <a:ea typeface="Calibri"/>
              <a:cs typeface="Calibri"/>
              <a:sym typeface="Calibri"/>
            </a:rPr>
            <a:t> taken for students to complete the online assessment.  </a:t>
          </a:r>
          <a:r>
            <a:rPr lang="en-US" sz="1100">
              <a:solidFill>
                <a:schemeClr val="dk1"/>
              </a:solidFill>
              <a:latin typeface="Calibri"/>
              <a:ea typeface="Calibri"/>
              <a:cs typeface="Calibri"/>
              <a:sym typeface="Calibri"/>
            </a:rPr>
            <a:t>Online assessment</a:t>
          </a:r>
          <a:r>
            <a:rPr lang="en-US" sz="1100">
              <a:solidFill>
                <a:schemeClr val="dk1"/>
              </a:solidFill>
              <a:latin typeface="Calibri"/>
              <a:ea typeface="Calibri"/>
              <a:cs typeface="Calibri"/>
              <a:sym typeface="Calibri"/>
            </a:rPr>
            <a:t> counted as part of the carrymark for the overall assessment</a:t>
          </a:r>
          <a:endParaRPr b="1" sz="1100"/>
        </a:p>
      </xdr:txBody>
    </xdr:sp>
    <xdr:clientData fLocksWithSheet="0"/>
  </xdr:oneCellAnchor>
  <xdr:oneCellAnchor>
    <xdr:from>
      <xdr:col>14</xdr:col>
      <xdr:colOff>142875</xdr:colOff>
      <xdr:row>60</xdr:row>
      <xdr:rowOff>171450</xdr:rowOff>
    </xdr:from>
    <xdr:ext cx="2943225" cy="304800"/>
    <xdr:grpSp>
      <xdr:nvGrpSpPr>
        <xdr:cNvPr id="2" name="Shape 2"/>
        <xdr:cNvGrpSpPr/>
      </xdr:nvGrpSpPr>
      <xdr:grpSpPr>
        <a:xfrm>
          <a:off x="3879150" y="3632363"/>
          <a:ext cx="2933700" cy="295275"/>
          <a:chOff x="3879150" y="3632363"/>
          <a:chExt cx="2933700" cy="295275"/>
        </a:xfrm>
      </xdr:grpSpPr>
      <xdr:cxnSp>
        <xdr:nvCxnSpPr>
          <xdr:cNvPr id="15" name="Shape 15"/>
          <xdr:cNvCxnSpPr/>
        </xdr:nvCxnSpPr>
        <xdr:spPr>
          <a:xfrm>
            <a:off x="3879150" y="3632363"/>
            <a:ext cx="2933700" cy="295275"/>
          </a:xfrm>
          <a:prstGeom prst="bentConnector3">
            <a:avLst>
              <a:gd fmla="val 50000" name="adj1"/>
            </a:avLst>
          </a:prstGeom>
          <a:noFill/>
          <a:ln cap="flat" cmpd="sng" w="9525">
            <a:solidFill>
              <a:schemeClr val="accent1"/>
            </a:solidFill>
            <a:prstDash val="solid"/>
            <a:miter lim="8000"/>
            <a:headEnd len="sm" w="sm" type="none"/>
            <a:tailEnd len="med" w="med" type="triangle"/>
          </a:ln>
        </xdr:spPr>
      </xdr:cxnSp>
    </xdr:grpSp>
    <xdr:clientData fLocksWithSheet="0"/>
  </xdr:oneCellAnchor>
  <xdr:oneCellAnchor>
    <xdr:from>
      <xdr:col>20</xdr:col>
      <xdr:colOff>19050</xdr:colOff>
      <xdr:row>62</xdr:row>
      <xdr:rowOff>114300</xdr:rowOff>
    </xdr:from>
    <xdr:ext cx="5381625" cy="666750"/>
    <xdr:sp>
      <xdr:nvSpPr>
        <xdr:cNvPr id="16" name="Shape 16"/>
        <xdr:cNvSpPr txBox="1"/>
      </xdr:nvSpPr>
      <xdr:spPr>
        <a:xfrm>
          <a:off x="2659950" y="3451388"/>
          <a:ext cx="5372100" cy="657225"/>
        </a:xfrm>
        <a:prstGeom prst="rect">
          <a:avLst/>
        </a:prstGeom>
        <a:solidFill>
          <a:srgbClr val="DDEAF6"/>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Time taken for students to prepare for the online assessment independently.  </a:t>
          </a:r>
          <a:endParaRPr sz="1400"/>
        </a:p>
        <a:p>
          <a:pPr indent="0" lvl="0" marL="0" rtl="0" algn="l">
            <a:spcBef>
              <a:spcPts val="0"/>
            </a:spcBef>
            <a:spcAft>
              <a:spcPts val="0"/>
            </a:spcAft>
            <a:buNone/>
          </a:pPr>
          <a:r>
            <a:t/>
          </a:r>
          <a:endParaRPr sz="1100"/>
        </a:p>
      </xdr:txBody>
    </xdr:sp>
    <xdr:clientData fLocksWithSheet="0"/>
  </xdr:oneCellAnchor>
  <xdr:oneCellAnchor>
    <xdr:from>
      <xdr:col>16</xdr:col>
      <xdr:colOff>771525</xdr:colOff>
      <xdr:row>61</xdr:row>
      <xdr:rowOff>200025</xdr:rowOff>
    </xdr:from>
    <xdr:ext cx="1676400" cy="742950"/>
    <xdr:grpSp>
      <xdr:nvGrpSpPr>
        <xdr:cNvPr id="2" name="Shape 2"/>
        <xdr:cNvGrpSpPr/>
      </xdr:nvGrpSpPr>
      <xdr:grpSpPr>
        <a:xfrm>
          <a:off x="4512563" y="3413288"/>
          <a:ext cx="1666875" cy="733425"/>
          <a:chOff x="4512563" y="3413288"/>
          <a:chExt cx="1666875" cy="733425"/>
        </a:xfrm>
      </xdr:grpSpPr>
      <xdr:cxnSp>
        <xdr:nvCxnSpPr>
          <xdr:cNvPr id="17" name="Shape 17"/>
          <xdr:cNvCxnSpPr/>
        </xdr:nvCxnSpPr>
        <xdr:spPr>
          <a:xfrm>
            <a:off x="4512563" y="3413288"/>
            <a:ext cx="1666875" cy="733425"/>
          </a:xfrm>
          <a:prstGeom prst="bentConnector3">
            <a:avLst>
              <a:gd fmla="val 50000" name="adj1"/>
            </a:avLst>
          </a:prstGeom>
          <a:noFill/>
          <a:ln cap="flat" cmpd="sng" w="9525">
            <a:solidFill>
              <a:schemeClr val="accent1"/>
            </a:solidFill>
            <a:prstDash val="solid"/>
            <a:miter lim="8000"/>
            <a:headEnd len="sm" w="sm" type="none"/>
            <a:tailEnd len="med" w="med" type="triangle"/>
          </a:ln>
        </xdr:spPr>
      </xdr:cxnSp>
    </xdr:grpSp>
    <xdr:clientData fLocksWithSheet="0"/>
  </xdr:oneCellAnchor>
  <xdr:oneCellAnchor>
    <xdr:from>
      <xdr:col>10</xdr:col>
      <xdr:colOff>114300</xdr:colOff>
      <xdr:row>63</xdr:row>
      <xdr:rowOff>57150</xdr:rowOff>
    </xdr:from>
    <xdr:ext cx="3848100" cy="1038225"/>
    <xdr:grpSp>
      <xdr:nvGrpSpPr>
        <xdr:cNvPr id="2" name="Shape 2"/>
        <xdr:cNvGrpSpPr/>
      </xdr:nvGrpSpPr>
      <xdr:grpSpPr>
        <a:xfrm>
          <a:off x="3426713" y="3265650"/>
          <a:ext cx="3838575" cy="1028700"/>
          <a:chOff x="3426713" y="3265650"/>
          <a:chExt cx="3838575" cy="1028700"/>
        </a:xfrm>
      </xdr:grpSpPr>
      <xdr:cxnSp>
        <xdr:nvCxnSpPr>
          <xdr:cNvPr id="18" name="Shape 18"/>
          <xdr:cNvCxnSpPr/>
        </xdr:nvCxnSpPr>
        <xdr:spPr>
          <a:xfrm>
            <a:off x="3426713" y="3265650"/>
            <a:ext cx="3838575" cy="1028700"/>
          </a:xfrm>
          <a:prstGeom prst="bentConnector3">
            <a:avLst>
              <a:gd fmla="val 92" name="adj1"/>
            </a:avLst>
          </a:prstGeom>
          <a:noFill/>
          <a:ln cap="flat" cmpd="sng" w="9525">
            <a:solidFill>
              <a:schemeClr val="accent1"/>
            </a:solidFill>
            <a:prstDash val="solid"/>
            <a:miter lim="8000"/>
            <a:headEnd len="sm" w="sm" type="none"/>
            <a:tailEnd len="med" w="med" type="triangle"/>
          </a:ln>
        </xdr:spPr>
      </xdr:cxnSp>
    </xdr:grpSp>
    <xdr:clientData fLocksWithSheet="0"/>
  </xdr:oneCellAnchor>
  <xdr:oneCellAnchor>
    <xdr:from>
      <xdr:col>20</xdr:col>
      <xdr:colOff>9525</xdr:colOff>
      <xdr:row>67</xdr:row>
      <xdr:rowOff>19050</xdr:rowOff>
    </xdr:from>
    <xdr:ext cx="5381625" cy="733425"/>
    <xdr:sp>
      <xdr:nvSpPr>
        <xdr:cNvPr id="19" name="Shape 19"/>
        <xdr:cNvSpPr txBox="1"/>
      </xdr:nvSpPr>
      <xdr:spPr>
        <a:xfrm>
          <a:off x="2659950" y="3418050"/>
          <a:ext cx="5372100" cy="723900"/>
        </a:xfrm>
        <a:prstGeom prst="rect">
          <a:avLst/>
        </a:prstGeom>
        <a:solidFill>
          <a:srgbClr val="C4E0B2"/>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Example:</a:t>
          </a:r>
          <a:endParaRPr sz="1400"/>
        </a:p>
        <a:p>
          <a:pPr indent="0" lvl="0" marL="0" rtl="0" algn="l">
            <a:spcBef>
              <a:spcPts val="0"/>
            </a:spcBef>
            <a:spcAft>
              <a:spcPts val="0"/>
            </a:spcAft>
            <a:buNone/>
          </a:pPr>
          <a:r>
            <a:rPr lang="en-US" sz="1100">
              <a:solidFill>
                <a:schemeClr val="dk1"/>
              </a:solidFill>
              <a:latin typeface="Calibri"/>
              <a:ea typeface="Calibri"/>
              <a:cs typeface="Calibri"/>
              <a:sym typeface="Calibri"/>
            </a:rPr>
            <a:t>Student has to take Online Quiz 1,  with the weightage of 10%. Estimated time for students to prepare for Quiz 1 is 3 hours</a:t>
          </a:r>
          <a:endParaRPr sz="1400"/>
        </a:p>
        <a:p>
          <a:pPr indent="0" lvl="0" marL="0" rtl="0" algn="l">
            <a:spcBef>
              <a:spcPts val="0"/>
            </a:spcBef>
            <a:spcAft>
              <a:spcPts val="0"/>
            </a:spcAft>
            <a:buNone/>
          </a:pPr>
          <a:r>
            <a:t/>
          </a:r>
          <a:endParaRPr sz="1100"/>
        </a:p>
      </xdr:txBody>
    </xdr:sp>
    <xdr:clientData fLocksWithSheet="0"/>
  </xdr:oneCellAnchor>
  <xdr:oneCellAnchor>
    <xdr:from>
      <xdr:col>7</xdr:col>
      <xdr:colOff>219075</xdr:colOff>
      <xdr:row>42</xdr:row>
      <xdr:rowOff>28575</xdr:rowOff>
    </xdr:from>
    <xdr:ext cx="1876425" cy="3714750"/>
    <xdr:sp>
      <xdr:nvSpPr>
        <xdr:cNvPr id="20" name="Shape 20"/>
        <xdr:cNvSpPr/>
      </xdr:nvSpPr>
      <xdr:spPr>
        <a:xfrm>
          <a:off x="4412550" y="1922625"/>
          <a:ext cx="1866900" cy="3714750"/>
        </a:xfrm>
        <a:prstGeom prst="rect">
          <a:avLst/>
        </a:prstGeom>
        <a:solidFill>
          <a:srgbClr val="FEF2CC">
            <a:alpha val="52941"/>
          </a:srgbClr>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12</xdr:col>
      <xdr:colOff>180975</xdr:colOff>
      <xdr:row>57</xdr:row>
      <xdr:rowOff>28575</xdr:rowOff>
    </xdr:from>
    <xdr:ext cx="3333750" cy="504825"/>
    <xdr:grpSp>
      <xdr:nvGrpSpPr>
        <xdr:cNvPr id="2" name="Shape 2"/>
        <xdr:cNvGrpSpPr/>
      </xdr:nvGrpSpPr>
      <xdr:grpSpPr>
        <a:xfrm>
          <a:off x="3683888" y="3532350"/>
          <a:ext cx="3324300" cy="495300"/>
          <a:chOff x="3683888" y="3532350"/>
          <a:chExt cx="3324300" cy="495300"/>
        </a:xfrm>
      </xdr:grpSpPr>
      <xdr:cxnSp>
        <xdr:nvCxnSpPr>
          <xdr:cNvPr id="21" name="Shape 21"/>
          <xdr:cNvCxnSpPr>
            <a:stCxn id="20" idx="2"/>
          </xdr:cNvCxnSpPr>
        </xdr:nvCxnSpPr>
        <xdr:spPr>
          <a:xfrm>
            <a:off x="3683888" y="3532350"/>
            <a:ext cx="3324300" cy="495300"/>
          </a:xfrm>
          <a:prstGeom prst="bentConnector2">
            <a:avLst/>
          </a:prstGeom>
          <a:noFill/>
          <a:ln cap="flat" cmpd="sng" w="9525">
            <a:solidFill>
              <a:schemeClr val="accent1"/>
            </a:solidFill>
            <a:prstDash val="solid"/>
            <a:miter lim="8000"/>
            <a:headEnd len="sm" w="sm" type="none"/>
            <a:tailEnd len="med" w="med" type="triangle"/>
          </a:ln>
        </xdr:spPr>
      </xdr:cxnSp>
    </xdr:grpSp>
    <xdr:clientData fLocksWithSheet="0"/>
  </xdr:oneCellAnchor>
  <xdr:oneCellAnchor>
    <xdr:from>
      <xdr:col>20</xdr:col>
      <xdr:colOff>19050</xdr:colOff>
      <xdr:row>59</xdr:row>
      <xdr:rowOff>133350</xdr:rowOff>
    </xdr:from>
    <xdr:ext cx="5715000" cy="809625"/>
    <xdr:sp>
      <xdr:nvSpPr>
        <xdr:cNvPr id="22" name="Shape 22"/>
        <xdr:cNvSpPr txBox="1"/>
      </xdr:nvSpPr>
      <xdr:spPr>
        <a:xfrm>
          <a:off x="2488500" y="3379950"/>
          <a:ext cx="5715000" cy="800100"/>
        </a:xfrm>
        <a:prstGeom prst="rect">
          <a:avLst/>
        </a:prstGeom>
        <a:solidFill>
          <a:srgbClr val="FBE4D4"/>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lang="en-US" sz="1100">
              <a:solidFill>
                <a:schemeClr val="dk1"/>
              </a:solidFill>
              <a:latin typeface="Calibri"/>
              <a:ea typeface="Calibri"/>
              <a:cs typeface="Calibri"/>
              <a:sym typeface="Calibri"/>
            </a:rPr>
            <a:t>For</a:t>
          </a:r>
          <a:r>
            <a:rPr b="0" lang="en-US" sz="1100">
              <a:solidFill>
                <a:schemeClr val="dk1"/>
              </a:solidFill>
              <a:latin typeface="Calibri"/>
              <a:ea typeface="Calibri"/>
              <a:cs typeface="Calibri"/>
              <a:sym typeface="Calibri"/>
            </a:rPr>
            <a:t> 3 credit hours: we meet students 3 hours per week. We have ~14 weeks in a semester, so we meet them = 14 weeks x 3 hrs = 42 hrs the whole semester. This is the GUIDED SLT</a:t>
          </a:r>
          <a:endParaRPr b="1" sz="1100"/>
        </a:p>
      </xdr:txBody>
    </xdr:sp>
    <xdr:clientData fLocksWithSheet="0"/>
  </xdr:oneCellAnchor>
  <xdr:oneCellAnchor>
    <xdr:from>
      <xdr:col>19</xdr:col>
      <xdr:colOff>95250</xdr:colOff>
      <xdr:row>2</xdr:row>
      <xdr:rowOff>180975</xdr:rowOff>
    </xdr:from>
    <xdr:ext cx="5019675" cy="2000250"/>
    <xdr:sp>
      <xdr:nvSpPr>
        <xdr:cNvPr id="23" name="Shape 23"/>
        <xdr:cNvSpPr txBox="1"/>
      </xdr:nvSpPr>
      <xdr:spPr>
        <a:xfrm>
          <a:off x="2836163" y="2784638"/>
          <a:ext cx="5019675" cy="1990725"/>
        </a:xfrm>
        <a:prstGeom prst="rect">
          <a:avLst/>
        </a:prstGeom>
        <a:solidFill>
          <a:srgbClr val="FFC0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chemeClr val="dk1"/>
              </a:solidFill>
              <a:latin typeface="Calibri"/>
              <a:ea typeface="Calibri"/>
              <a:cs typeface="Calibri"/>
              <a:sym typeface="Calibri"/>
            </a:rPr>
            <a:t>How to Use:</a:t>
          </a:r>
          <a:endParaRPr sz="1400"/>
        </a:p>
        <a:p>
          <a:pPr indent="0" lvl="0" marL="0" rtl="0" algn="l">
            <a:spcBef>
              <a:spcPts val="0"/>
            </a:spcBef>
            <a:spcAft>
              <a:spcPts val="0"/>
            </a:spcAft>
            <a:buNone/>
          </a:pPr>
          <a:r>
            <a:t/>
          </a:r>
          <a:endParaRPr b="1" sz="1100"/>
        </a:p>
        <a:p>
          <a:pPr indent="0" lvl="0" marL="0" rtl="0" algn="l">
            <a:spcBef>
              <a:spcPts val="0"/>
            </a:spcBef>
            <a:spcAft>
              <a:spcPts val="0"/>
            </a:spcAft>
            <a:buNone/>
          </a:pPr>
          <a:r>
            <a:rPr b="1" lang="en-US" sz="1100">
              <a:solidFill>
                <a:schemeClr val="dk1"/>
              </a:solidFill>
              <a:latin typeface="Calibri"/>
              <a:ea typeface="Calibri"/>
              <a:cs typeface="Calibri"/>
              <a:sym typeface="Calibri"/>
            </a:rPr>
            <a:t>1. Fill in the forms</a:t>
          </a:r>
          <a:endParaRPr sz="1400"/>
        </a:p>
        <a:p>
          <a:pPr indent="0" lvl="0" marL="0" rtl="0" algn="l">
            <a:spcBef>
              <a:spcPts val="0"/>
            </a:spcBef>
            <a:spcAft>
              <a:spcPts val="0"/>
            </a:spcAft>
            <a:buNone/>
          </a:pPr>
          <a:r>
            <a:rPr b="1" lang="en-US" sz="1100">
              <a:solidFill>
                <a:schemeClr val="dk1"/>
              </a:solidFill>
              <a:latin typeface="Calibri"/>
              <a:ea typeface="Calibri"/>
              <a:cs typeface="Calibri"/>
              <a:sym typeface="Calibri"/>
            </a:rPr>
            <a:t>2. Percentages for SLT will be calculated automatically.</a:t>
          </a:r>
          <a:endParaRPr sz="1400"/>
        </a:p>
        <a:p>
          <a:pPr indent="0" lvl="0" marL="0" rtl="0" algn="l">
            <a:spcBef>
              <a:spcPts val="0"/>
            </a:spcBef>
            <a:spcAft>
              <a:spcPts val="0"/>
            </a:spcAft>
            <a:buNone/>
          </a:pPr>
          <a:r>
            <a:rPr b="1" lang="en-US" sz="1100">
              <a:solidFill>
                <a:schemeClr val="dk1"/>
              </a:solidFill>
              <a:latin typeface="Calibri"/>
              <a:ea typeface="Calibri"/>
              <a:cs typeface="Calibri"/>
              <a:sym typeface="Calibri"/>
            </a:rPr>
            <a:t>3. Use 'Copy Sheet' if you would like to make</a:t>
          </a:r>
          <a:r>
            <a:rPr b="1" lang="en-US" sz="1100">
              <a:solidFill>
                <a:schemeClr val="dk1"/>
              </a:solidFill>
              <a:latin typeface="Calibri"/>
              <a:ea typeface="Calibri"/>
              <a:cs typeface="Calibri"/>
              <a:sym typeface="Calibri"/>
            </a:rPr>
            <a:t> a copy in a new tab.</a:t>
          </a:r>
          <a:endParaRPr sz="1400"/>
        </a:p>
        <a:p>
          <a:pPr indent="0" lvl="0" marL="0" rtl="0" algn="l">
            <a:spcBef>
              <a:spcPts val="0"/>
            </a:spcBef>
            <a:spcAft>
              <a:spcPts val="0"/>
            </a:spcAft>
            <a:buNone/>
          </a:pPr>
          <a:r>
            <a:rPr b="1" lang="en-US" sz="1100">
              <a:solidFill>
                <a:schemeClr val="dk1"/>
              </a:solidFill>
              <a:latin typeface="Calibri"/>
              <a:ea typeface="Calibri"/>
              <a:cs typeface="Calibri"/>
              <a:sym typeface="Calibri"/>
            </a:rPr>
            <a:t>4. Click 'Update Index' to see the list of Courses that you have and the Percentages.</a:t>
          </a:r>
          <a:endParaRPr sz="1100"/>
        </a:p>
      </xdr:txBody>
    </xdr:sp>
    <xdr:clientData fLocksWithSheet="0"/>
  </xdr:oneCellAnchor>
  <xdr:oneCellAnchor>
    <xdr:from>
      <xdr:col>9</xdr:col>
      <xdr:colOff>133350</xdr:colOff>
      <xdr:row>1</xdr:row>
      <xdr:rowOff>19050</xdr:rowOff>
    </xdr:from>
    <xdr:ext cx="1085850" cy="400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171450</xdr:colOff>
      <xdr:row>1</xdr:row>
      <xdr:rowOff>381000</xdr:rowOff>
    </xdr:from>
    <xdr:ext cx="714375" cy="180975"/>
    <xdr:pic>
      <xdr:nvPicPr>
        <xdr:cNvPr id="0" name="image4.jpg"/>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600075</xdr:colOff>
      <xdr:row>1</xdr:row>
      <xdr:rowOff>381000</xdr:rowOff>
    </xdr:from>
    <xdr:ext cx="638175" cy="180975"/>
    <xdr:pic>
      <xdr:nvPicPr>
        <xdr:cNvPr id="0" name="image2.jp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333375</xdr:colOff>
      <xdr:row>1</xdr:row>
      <xdr:rowOff>381000</xdr:rowOff>
    </xdr:from>
    <xdr:ext cx="619125" cy="180975"/>
    <xdr:pic>
      <xdr:nvPicPr>
        <xdr:cNvPr id="0" name="image3.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15" displayName="Table_1" name="Table_1" id="1">
  <tableColumns count="4">
    <tableColumn name="Check No." id="1"/>
    <tableColumn name="Review Item" id="2"/>
    <tableColumn name="Status" id="3"/>
    <tableColumn name="Key Findings / Remarks" id="4"/>
  </tableColumns>
  <tableStyleInfo name="CI Checklis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5"/>
    <pageSetUpPr/>
  </sheetPr>
  <sheetViews>
    <sheetView showGridLines="0" workbookViewId="0"/>
  </sheetViews>
  <sheetFormatPr customHeight="1" defaultColWidth="14.43" defaultRowHeight="15.0"/>
  <cols>
    <col customWidth="1" min="1" max="1" width="2.43"/>
    <col customWidth="1" min="2" max="2" width="8.86"/>
    <col customWidth="1" min="3" max="3" width="4.43"/>
    <col customWidth="1" min="4" max="4" width="3.0"/>
    <col customWidth="1" min="5" max="5" width="3.43"/>
    <col customWidth="1" min="6" max="6" width="3.14"/>
    <col customWidth="1" min="7" max="8" width="3.86"/>
    <col customWidth="1" min="9" max="9" width="7.0"/>
    <col customWidth="1" min="10" max="12" width="2.57"/>
    <col customWidth="1" min="13" max="13" width="3.43"/>
    <col customWidth="1" min="14" max="14" width="3.0"/>
    <col customWidth="1" min="15" max="15" width="3.86"/>
    <col customWidth="1" min="16" max="17" width="8.43"/>
    <col customWidth="1" min="18" max="18" width="19.57"/>
    <col customWidth="1" min="19" max="19" width="25.29"/>
    <col customWidth="1" min="20" max="20" width="77.86"/>
    <col customWidth="1" min="21" max="21" width="74.43"/>
    <col customWidth="1" min="22" max="26" width="8.86"/>
  </cols>
  <sheetData>
    <row r="1" ht="14.25" customHeight="1"/>
    <row r="2" ht="46.5" customHeight="1">
      <c r="B2" s="2" t="s">
        <v>1</v>
      </c>
    </row>
    <row r="3" ht="14.25" customHeight="1"/>
    <row r="4" ht="20.25" customHeight="1">
      <c r="B4" s="4" t="s">
        <v>4</v>
      </c>
      <c r="C4" s="5"/>
      <c r="D4" s="5"/>
      <c r="E4" s="5"/>
      <c r="F4" s="7"/>
      <c r="G4" s="9" t="s">
        <v>7</v>
      </c>
      <c r="H4" s="5"/>
      <c r="I4" s="5"/>
      <c r="J4" s="5"/>
      <c r="K4" s="5"/>
      <c r="L4" s="5"/>
      <c r="M4" s="5"/>
      <c r="N4" s="5"/>
      <c r="O4" s="5"/>
      <c r="P4" s="5"/>
      <c r="Q4" s="5"/>
      <c r="R4" s="5"/>
      <c r="S4" s="7"/>
      <c r="T4" s="10" t="s">
        <v>9</v>
      </c>
    </row>
    <row r="5" ht="20.25" customHeight="1">
      <c r="B5" s="11" t="s">
        <v>10</v>
      </c>
      <c r="C5" s="5"/>
      <c r="D5" s="5"/>
      <c r="E5" s="5"/>
      <c r="F5" s="7"/>
      <c r="G5" s="12" t="s">
        <v>11</v>
      </c>
      <c r="H5" s="5"/>
      <c r="I5" s="5"/>
      <c r="J5" s="5"/>
      <c r="K5" s="5"/>
      <c r="L5" s="5"/>
      <c r="M5" s="5"/>
      <c r="N5" s="5"/>
      <c r="O5" s="5"/>
      <c r="P5" s="5"/>
      <c r="Q5" s="5"/>
      <c r="R5" s="5"/>
      <c r="S5" s="7"/>
      <c r="T5" s="14"/>
    </row>
    <row r="6" ht="24.0" customHeight="1">
      <c r="B6" s="11" t="s">
        <v>13</v>
      </c>
      <c r="C6" s="5"/>
      <c r="D6" s="5"/>
      <c r="E6" s="5"/>
      <c r="F6" s="7"/>
      <c r="G6" s="15" t="s">
        <v>15</v>
      </c>
      <c r="H6" s="5"/>
      <c r="I6" s="5"/>
      <c r="J6" s="5"/>
      <c r="K6" s="5"/>
      <c r="L6" s="5"/>
      <c r="M6" s="7"/>
      <c r="N6" s="16" t="s">
        <v>17</v>
      </c>
      <c r="O6" s="5"/>
      <c r="P6" s="7"/>
      <c r="Q6" s="15" t="s">
        <v>19</v>
      </c>
      <c r="R6" s="5"/>
      <c r="S6" s="7"/>
      <c r="T6" s="14"/>
    </row>
    <row r="7" ht="48.0" customHeight="1">
      <c r="B7" s="11" t="s">
        <v>20</v>
      </c>
      <c r="C7" s="5"/>
      <c r="D7" s="5"/>
      <c r="E7" s="5"/>
      <c r="F7" s="7"/>
      <c r="G7" s="15" t="s">
        <v>22</v>
      </c>
      <c r="H7" s="5"/>
      <c r="I7" s="5"/>
      <c r="J7" s="5"/>
      <c r="K7" s="5"/>
      <c r="L7" s="5"/>
      <c r="M7" s="7"/>
      <c r="N7" s="16" t="s">
        <v>23</v>
      </c>
      <c r="O7" s="5"/>
      <c r="P7" s="7"/>
      <c r="Q7" s="15"/>
      <c r="R7" s="5"/>
      <c r="S7" s="7"/>
      <c r="T7" s="14"/>
    </row>
    <row r="8" ht="20.25" customHeight="1">
      <c r="B8" s="11" t="s">
        <v>24</v>
      </c>
      <c r="C8" s="5"/>
      <c r="D8" s="5"/>
      <c r="E8" s="5"/>
      <c r="F8" s="7"/>
      <c r="G8" s="15">
        <v>3.0</v>
      </c>
      <c r="H8" s="5"/>
      <c r="I8" s="5"/>
      <c r="J8" s="5"/>
      <c r="K8" s="5"/>
      <c r="L8" s="5"/>
      <c r="M8" s="5"/>
      <c r="N8" s="5"/>
      <c r="O8" s="5"/>
      <c r="P8" s="5"/>
      <c r="Q8" s="5"/>
      <c r="R8" s="5"/>
      <c r="S8" s="7"/>
      <c r="T8" s="14"/>
    </row>
    <row r="9" ht="14.25" customHeight="1"/>
    <row r="10" ht="135.0" customHeight="1">
      <c r="B10" s="18" t="s">
        <v>27</v>
      </c>
      <c r="C10" s="5"/>
      <c r="D10" s="5"/>
      <c r="E10" s="5"/>
      <c r="F10" s="7"/>
      <c r="G10" s="19" t="s">
        <v>38</v>
      </c>
      <c r="H10" s="5"/>
      <c r="I10" s="5"/>
      <c r="J10" s="5"/>
      <c r="K10" s="5"/>
      <c r="L10" s="5"/>
      <c r="M10" s="5"/>
      <c r="N10" s="5"/>
      <c r="O10" s="5"/>
      <c r="P10" s="5"/>
      <c r="Q10" s="5"/>
      <c r="R10" s="5"/>
      <c r="S10" s="7"/>
      <c r="T10" s="21" t="s">
        <v>33</v>
      </c>
    </row>
    <row r="11" ht="64.5" customHeight="1">
      <c r="B11" s="18" t="s">
        <v>34</v>
      </c>
      <c r="C11" s="5"/>
      <c r="D11" s="5"/>
      <c r="E11" s="5"/>
      <c r="F11" s="7"/>
      <c r="G11" s="22"/>
      <c r="H11" s="5"/>
      <c r="I11" s="5"/>
      <c r="J11" s="5"/>
      <c r="K11" s="5"/>
      <c r="L11" s="5"/>
      <c r="M11" s="5"/>
      <c r="N11" s="5"/>
      <c r="O11" s="5"/>
      <c r="P11" s="5"/>
      <c r="Q11" s="5"/>
      <c r="R11" s="5"/>
      <c r="S11" s="7"/>
      <c r="T11" s="24" t="s">
        <v>9</v>
      </c>
    </row>
    <row r="12" ht="24.75" customHeight="1">
      <c r="B12" s="26" t="s">
        <v>37</v>
      </c>
      <c r="C12" s="28"/>
      <c r="D12" s="28"/>
      <c r="E12" s="28"/>
      <c r="F12" s="31"/>
      <c r="G12" s="18" t="s">
        <v>39</v>
      </c>
      <c r="H12" s="5"/>
      <c r="I12" s="5"/>
      <c r="J12" s="5"/>
      <c r="K12" s="5"/>
      <c r="L12" s="5"/>
      <c r="M12" s="5"/>
      <c r="N12" s="5"/>
      <c r="O12" s="7"/>
      <c r="P12" s="33" t="s">
        <v>40</v>
      </c>
      <c r="Q12" s="33" t="s">
        <v>41</v>
      </c>
      <c r="R12" s="18" t="s">
        <v>42</v>
      </c>
      <c r="S12" s="7"/>
      <c r="T12" s="10" t="s">
        <v>9</v>
      </c>
    </row>
    <row r="13" ht="10.5" customHeight="1">
      <c r="B13" s="14"/>
      <c r="F13" s="35"/>
      <c r="G13" s="36"/>
      <c r="H13" s="5"/>
      <c r="I13" s="5"/>
      <c r="J13" s="5"/>
      <c r="K13" s="5"/>
      <c r="L13" s="5"/>
      <c r="M13" s="5"/>
      <c r="N13" s="5"/>
      <c r="O13" s="5"/>
      <c r="P13" s="38"/>
      <c r="Q13" s="38"/>
      <c r="R13" s="39"/>
      <c r="S13" s="7"/>
      <c r="T13" s="14"/>
    </row>
    <row r="14" ht="15.75" customHeight="1">
      <c r="B14" s="14"/>
      <c r="F14" s="35"/>
      <c r="G14" s="15"/>
      <c r="H14" s="5"/>
      <c r="I14" s="5"/>
      <c r="J14" s="5"/>
      <c r="K14" s="5"/>
      <c r="L14" s="5"/>
      <c r="M14" s="5"/>
      <c r="N14" s="5"/>
      <c r="O14" s="5"/>
      <c r="P14" s="41"/>
      <c r="Q14" s="41"/>
      <c r="R14" s="15"/>
      <c r="S14" s="7"/>
      <c r="T14" s="14"/>
    </row>
    <row r="15" ht="15.75" customHeight="1">
      <c r="B15" s="43"/>
      <c r="C15" s="44"/>
      <c r="D15" s="44"/>
      <c r="E15" s="44"/>
      <c r="F15" s="45"/>
      <c r="G15" s="15"/>
      <c r="H15" s="5"/>
      <c r="I15" s="5"/>
      <c r="J15" s="5"/>
      <c r="K15" s="5"/>
      <c r="L15" s="5"/>
      <c r="M15" s="5"/>
      <c r="N15" s="5"/>
      <c r="O15" s="5"/>
      <c r="P15" s="41"/>
      <c r="Q15" s="41"/>
      <c r="R15" s="15"/>
      <c r="S15" s="7"/>
      <c r="T15" s="14"/>
    </row>
    <row r="16" ht="14.25" customHeight="1"/>
    <row r="17" ht="14.25" customHeight="1">
      <c r="B17" s="46" t="s">
        <v>44</v>
      </c>
    </row>
    <row r="18" ht="14.25" customHeight="1"/>
    <row r="19" ht="14.25" customHeight="1"/>
    <row r="20" ht="66.0" customHeight="1">
      <c r="A20" s="47"/>
      <c r="B20" s="48" t="s">
        <v>45</v>
      </c>
      <c r="C20" s="49" t="s">
        <v>47</v>
      </c>
      <c r="D20" s="5"/>
      <c r="E20" s="5"/>
      <c r="F20" s="5"/>
      <c r="G20" s="5"/>
      <c r="H20" s="5"/>
      <c r="I20" s="7"/>
      <c r="J20" s="50" t="s">
        <v>49</v>
      </c>
      <c r="K20" s="5"/>
      <c r="L20" s="7"/>
      <c r="M20" s="52" t="s">
        <v>50</v>
      </c>
      <c r="N20" s="5"/>
      <c r="O20" s="7"/>
      <c r="P20" s="55" t="s">
        <v>53</v>
      </c>
      <c r="Q20" s="55" t="s">
        <v>54</v>
      </c>
      <c r="R20" s="54" t="s">
        <v>56</v>
      </c>
      <c r="S20" s="54" t="s">
        <v>58</v>
      </c>
      <c r="T20" s="47"/>
      <c r="U20" s="47"/>
      <c r="V20" s="47"/>
      <c r="W20" s="47"/>
      <c r="X20" s="47"/>
      <c r="Y20" s="47"/>
      <c r="Z20" s="47"/>
    </row>
    <row r="21" ht="36.0" customHeight="1">
      <c r="B21" s="56" t="s">
        <v>59</v>
      </c>
      <c r="C21" s="58" t="s">
        <v>60</v>
      </c>
      <c r="D21" s="5"/>
      <c r="E21" s="5"/>
      <c r="F21" s="5"/>
      <c r="G21" s="5"/>
      <c r="H21" s="5"/>
      <c r="I21" s="7"/>
      <c r="J21" s="58" t="s">
        <v>61</v>
      </c>
      <c r="K21" s="5"/>
      <c r="L21" s="7"/>
      <c r="M21" s="58" t="s">
        <v>62</v>
      </c>
      <c r="N21" s="5"/>
      <c r="O21" s="7"/>
      <c r="P21" s="60"/>
      <c r="Q21" s="61"/>
      <c r="R21" s="62" t="s">
        <v>63</v>
      </c>
      <c r="S21" s="58" t="s">
        <v>64</v>
      </c>
      <c r="T21" s="64" t="s">
        <v>65</v>
      </c>
      <c r="U21" s="67"/>
    </row>
    <row r="22" ht="56.25" customHeight="1">
      <c r="B22" s="56" t="s">
        <v>67</v>
      </c>
      <c r="C22" s="70" t="s">
        <v>69</v>
      </c>
      <c r="D22" s="5"/>
      <c r="E22" s="5"/>
      <c r="F22" s="5"/>
      <c r="G22" s="5"/>
      <c r="H22" s="5"/>
      <c r="I22" s="7"/>
      <c r="J22" s="58" t="s">
        <v>71</v>
      </c>
      <c r="K22" s="5"/>
      <c r="L22" s="7"/>
      <c r="M22" s="58" t="s">
        <v>72</v>
      </c>
      <c r="N22" s="5"/>
      <c r="O22" s="7"/>
      <c r="P22" s="74" t="s">
        <v>73</v>
      </c>
      <c r="Q22" s="61"/>
      <c r="R22" s="62" t="s">
        <v>75</v>
      </c>
      <c r="S22" s="74" t="s">
        <v>84</v>
      </c>
      <c r="T22" s="14"/>
    </row>
    <row r="23" ht="42.75" customHeight="1">
      <c r="B23" s="56" t="s">
        <v>77</v>
      </c>
      <c r="C23" s="70" t="s">
        <v>86</v>
      </c>
      <c r="D23" s="5"/>
      <c r="E23" s="5"/>
      <c r="F23" s="5"/>
      <c r="G23" s="5"/>
      <c r="H23" s="5"/>
      <c r="I23" s="7"/>
      <c r="J23" s="58" t="s">
        <v>81</v>
      </c>
      <c r="K23" s="5"/>
      <c r="L23" s="7"/>
      <c r="M23" s="58" t="s">
        <v>83</v>
      </c>
      <c r="N23" s="5"/>
      <c r="O23" s="7"/>
      <c r="P23" s="60"/>
      <c r="Q23" s="84" t="s">
        <v>85</v>
      </c>
      <c r="R23" s="62" t="s">
        <v>87</v>
      </c>
      <c r="S23" s="74" t="s">
        <v>93</v>
      </c>
      <c r="T23" s="14"/>
    </row>
    <row r="24" ht="36.0" customHeight="1">
      <c r="B24" s="56" t="s">
        <v>89</v>
      </c>
      <c r="C24" s="58" t="s">
        <v>90</v>
      </c>
      <c r="D24" s="5"/>
      <c r="E24" s="5"/>
      <c r="F24" s="5"/>
      <c r="G24" s="5"/>
      <c r="H24" s="5"/>
      <c r="I24" s="7"/>
      <c r="J24" s="58" t="s">
        <v>91</v>
      </c>
      <c r="K24" s="5"/>
      <c r="L24" s="7"/>
      <c r="M24" s="58" t="s">
        <v>92</v>
      </c>
      <c r="N24" s="5"/>
      <c r="O24" s="7"/>
      <c r="P24" s="60"/>
      <c r="Q24" s="61"/>
      <c r="R24" s="62" t="s">
        <v>94</v>
      </c>
      <c r="S24" s="74" t="s">
        <v>95</v>
      </c>
      <c r="T24" s="14"/>
    </row>
    <row r="25" ht="337.5" customHeight="1">
      <c r="B25" s="96" t="s">
        <v>103</v>
      </c>
      <c r="C25" s="5"/>
      <c r="D25" s="5"/>
      <c r="E25" s="5"/>
      <c r="F25" s="5"/>
      <c r="G25" s="5"/>
      <c r="H25" s="5"/>
      <c r="I25" s="5"/>
      <c r="J25" s="5"/>
      <c r="K25" s="5"/>
      <c r="L25" s="5"/>
      <c r="M25" s="5"/>
      <c r="N25" s="5"/>
      <c r="O25" s="5"/>
      <c r="P25" s="5"/>
      <c r="Q25" s="5"/>
      <c r="R25" s="5"/>
      <c r="S25" s="7"/>
      <c r="T25" s="98"/>
    </row>
    <row r="26" ht="22.5" customHeight="1">
      <c r="B26" s="101"/>
      <c r="C26" s="101"/>
      <c r="D26" s="101"/>
      <c r="E26" s="101"/>
      <c r="F26" s="101"/>
      <c r="G26" s="101"/>
      <c r="H26" s="101"/>
      <c r="I26" s="101"/>
      <c r="J26" s="101"/>
      <c r="K26" s="101"/>
      <c r="L26" s="101"/>
      <c r="M26" s="101"/>
      <c r="N26" s="101"/>
      <c r="O26" s="101"/>
      <c r="P26" s="101"/>
      <c r="Q26" s="101"/>
      <c r="R26" s="101"/>
      <c r="S26" s="101"/>
    </row>
    <row r="27" ht="14.25" customHeight="1">
      <c r="B27" s="103" t="s">
        <v>105</v>
      </c>
      <c r="C27" s="44"/>
      <c r="D27" s="44"/>
      <c r="E27" s="44"/>
      <c r="F27" s="44"/>
      <c r="G27" s="44"/>
      <c r="H27" s="44"/>
      <c r="I27" s="44"/>
      <c r="J27" s="44"/>
      <c r="K27" s="44"/>
      <c r="L27" s="44"/>
      <c r="M27" s="44"/>
      <c r="N27" s="44"/>
      <c r="O27" s="44"/>
      <c r="P27" s="44"/>
      <c r="Q27" s="44"/>
      <c r="R27" s="44"/>
      <c r="S27" s="44"/>
    </row>
    <row r="28" ht="14.25" customHeight="1">
      <c r="B28" s="104" t="s">
        <v>45</v>
      </c>
      <c r="C28" s="105" t="s">
        <v>106</v>
      </c>
      <c r="D28" s="5"/>
      <c r="E28" s="5"/>
      <c r="F28" s="5"/>
      <c r="G28" s="5"/>
      <c r="H28" s="5"/>
      <c r="I28" s="5"/>
      <c r="J28" s="5"/>
      <c r="K28" s="7"/>
      <c r="L28" s="105" t="s">
        <v>107</v>
      </c>
      <c r="M28" s="5"/>
      <c r="N28" s="5"/>
      <c r="O28" s="5"/>
      <c r="P28" s="5"/>
      <c r="Q28" s="5"/>
      <c r="R28" s="5"/>
      <c r="S28" s="7"/>
      <c r="T28" s="10" t="s">
        <v>9</v>
      </c>
    </row>
    <row r="29" ht="14.25" customHeight="1">
      <c r="B29" s="56">
        <v>1.0</v>
      </c>
      <c r="C29" s="106"/>
      <c r="D29" s="5"/>
      <c r="E29" s="5"/>
      <c r="F29" s="5"/>
      <c r="G29" s="5"/>
      <c r="H29" s="5"/>
      <c r="I29" s="5"/>
      <c r="J29" s="5"/>
      <c r="K29" s="7"/>
      <c r="L29" s="107"/>
      <c r="M29" s="5"/>
      <c r="N29" s="5"/>
      <c r="O29" s="5"/>
      <c r="P29" s="5"/>
      <c r="Q29" s="5"/>
      <c r="R29" s="5"/>
      <c r="S29" s="7"/>
      <c r="T29" s="14"/>
    </row>
    <row r="30" ht="14.25" customHeight="1">
      <c r="B30" s="56">
        <v>2.0</v>
      </c>
      <c r="C30" s="108"/>
      <c r="D30" s="5"/>
      <c r="E30" s="5"/>
      <c r="F30" s="5"/>
      <c r="G30" s="5"/>
      <c r="H30" s="5"/>
      <c r="I30" s="5"/>
      <c r="J30" s="5"/>
      <c r="K30" s="7"/>
      <c r="L30" s="108"/>
      <c r="M30" s="5"/>
      <c r="N30" s="5"/>
      <c r="O30" s="5"/>
      <c r="P30" s="5"/>
      <c r="Q30" s="5"/>
      <c r="R30" s="5"/>
      <c r="S30" s="7"/>
      <c r="T30" s="14"/>
    </row>
    <row r="31" ht="16.5" customHeight="1">
      <c r="B31" s="56">
        <v>3.0</v>
      </c>
      <c r="C31" s="106"/>
      <c r="D31" s="5"/>
      <c r="E31" s="5"/>
      <c r="F31" s="5"/>
      <c r="G31" s="5"/>
      <c r="H31" s="5"/>
      <c r="I31" s="5"/>
      <c r="J31" s="5"/>
      <c r="K31" s="7"/>
      <c r="L31" s="99"/>
      <c r="M31" s="5"/>
      <c r="N31" s="5"/>
      <c r="O31" s="5"/>
      <c r="P31" s="5"/>
      <c r="Q31" s="5"/>
      <c r="R31" s="5"/>
      <c r="S31" s="7"/>
      <c r="T31" s="14"/>
    </row>
    <row r="32" ht="14.25" customHeight="1"/>
    <row r="33" ht="28.5" customHeight="1">
      <c r="B33" s="110" t="s">
        <v>109</v>
      </c>
      <c r="C33" s="5"/>
      <c r="D33" s="5"/>
      <c r="E33" s="5"/>
      <c r="F33" s="5"/>
      <c r="G33" s="5"/>
      <c r="H33" s="5"/>
      <c r="I33" s="5"/>
      <c r="J33" s="5"/>
      <c r="K33" s="5"/>
      <c r="L33" s="5"/>
      <c r="M33" s="5"/>
      <c r="N33" s="5"/>
      <c r="O33" s="5"/>
      <c r="P33" s="5"/>
      <c r="Q33" s="5"/>
      <c r="R33" s="5"/>
      <c r="S33" s="7"/>
      <c r="T33" s="10" t="s">
        <v>9</v>
      </c>
    </row>
    <row r="34" ht="38.25" customHeight="1">
      <c r="B34" s="99"/>
      <c r="C34" s="5"/>
      <c r="D34" s="5"/>
      <c r="E34" s="5"/>
      <c r="F34" s="5"/>
      <c r="G34" s="5"/>
      <c r="H34" s="5"/>
      <c r="I34" s="5"/>
      <c r="J34" s="5"/>
      <c r="K34" s="5"/>
      <c r="L34" s="5"/>
      <c r="M34" s="5"/>
      <c r="N34" s="5"/>
      <c r="O34" s="5"/>
      <c r="P34" s="5"/>
      <c r="Q34" s="5"/>
      <c r="R34" s="5"/>
      <c r="S34" s="7"/>
      <c r="T34" s="14"/>
    </row>
    <row r="35" ht="15.0" customHeight="1"/>
    <row r="36" ht="14.25" customHeight="1">
      <c r="B36" s="111" t="s">
        <v>110</v>
      </c>
    </row>
    <row r="37" ht="19.5" customHeight="1">
      <c r="B37" s="112" t="s">
        <v>111</v>
      </c>
      <c r="C37" s="113"/>
      <c r="D37" s="112" t="s">
        <v>113</v>
      </c>
      <c r="E37" s="28"/>
      <c r="F37" s="31"/>
      <c r="G37" s="112" t="s">
        <v>115</v>
      </c>
      <c r="H37" s="31"/>
      <c r="I37" s="114" t="s">
        <v>116</v>
      </c>
      <c r="J37" s="5"/>
      <c r="K37" s="5"/>
      <c r="L37" s="5"/>
      <c r="M37" s="5"/>
      <c r="N37" s="5"/>
      <c r="O37" s="5"/>
      <c r="P37" s="5"/>
      <c r="Q37" s="5"/>
      <c r="R37" s="7"/>
      <c r="S37" s="115" t="s">
        <v>117</v>
      </c>
    </row>
    <row r="38" ht="40.5" customHeight="1">
      <c r="B38" s="14"/>
      <c r="C38" s="116"/>
      <c r="D38" s="14"/>
      <c r="F38" s="35"/>
      <c r="G38" s="14"/>
      <c r="H38" s="35"/>
      <c r="I38" s="117" t="s">
        <v>118</v>
      </c>
      <c r="J38" s="5"/>
      <c r="K38" s="5"/>
      <c r="L38" s="5"/>
      <c r="M38" s="5"/>
      <c r="N38" s="5"/>
      <c r="O38" s="5"/>
      <c r="P38" s="7"/>
      <c r="Q38" s="119" t="s">
        <v>119</v>
      </c>
      <c r="R38" s="7"/>
      <c r="S38" s="120"/>
    </row>
    <row r="39" ht="46.5" customHeight="1">
      <c r="B39" s="14"/>
      <c r="C39" s="116"/>
      <c r="D39" s="14"/>
      <c r="F39" s="35"/>
      <c r="G39" s="14"/>
      <c r="H39" s="35"/>
      <c r="I39" s="122" t="s">
        <v>120</v>
      </c>
      <c r="J39" s="5"/>
      <c r="K39" s="5"/>
      <c r="L39" s="7"/>
      <c r="M39" s="125" t="s">
        <v>121</v>
      </c>
      <c r="N39" s="5"/>
      <c r="O39" s="5"/>
      <c r="P39" s="7"/>
      <c r="Q39" s="126" t="s">
        <v>122</v>
      </c>
      <c r="R39" s="127" t="s">
        <v>123</v>
      </c>
      <c r="S39" s="120"/>
    </row>
    <row r="40" ht="14.25" customHeight="1">
      <c r="B40" s="43"/>
      <c r="C40" s="128"/>
      <c r="D40" s="43"/>
      <c r="E40" s="44"/>
      <c r="F40" s="45"/>
      <c r="G40" s="43"/>
      <c r="H40" s="45"/>
      <c r="I40" s="129" t="s">
        <v>124</v>
      </c>
      <c r="J40" s="129" t="s">
        <v>125</v>
      </c>
      <c r="K40" s="129" t="s">
        <v>126</v>
      </c>
      <c r="L40" s="129" t="s">
        <v>127</v>
      </c>
      <c r="M40" s="129" t="s">
        <v>124</v>
      </c>
      <c r="N40" s="129" t="s">
        <v>125</v>
      </c>
      <c r="O40" s="129" t="s">
        <v>126</v>
      </c>
      <c r="P40" s="129" t="s">
        <v>127</v>
      </c>
      <c r="Q40" s="132"/>
      <c r="R40" s="132"/>
      <c r="S40" s="132"/>
    </row>
    <row r="41" ht="19.5" customHeight="1">
      <c r="B41" s="57" t="s">
        <v>128</v>
      </c>
      <c r="C41" s="7"/>
      <c r="D41" s="57"/>
      <c r="E41" s="5"/>
      <c r="F41" s="7"/>
      <c r="G41" s="133" t="s">
        <v>129</v>
      </c>
      <c r="H41" s="7"/>
      <c r="I41" s="134"/>
      <c r="J41" s="134"/>
      <c r="K41" s="134"/>
      <c r="L41" s="134"/>
      <c r="M41" s="134">
        <v>3.0</v>
      </c>
      <c r="N41" s="134"/>
      <c r="O41" s="134"/>
      <c r="P41" s="134"/>
      <c r="Q41" s="134">
        <v>2.0</v>
      </c>
      <c r="R41" s="134"/>
      <c r="S41" s="134">
        <f t="shared" ref="S41:S47" si="1">SUM(I41:R41)</f>
        <v>5</v>
      </c>
      <c r="T41" s="64" t="s">
        <v>130</v>
      </c>
    </row>
    <row r="42" ht="19.5" customHeight="1">
      <c r="B42" s="57" t="s">
        <v>131</v>
      </c>
      <c r="C42" s="7"/>
      <c r="D42" s="57"/>
      <c r="E42" s="5"/>
      <c r="F42" s="7"/>
      <c r="G42" s="133" t="s">
        <v>129</v>
      </c>
      <c r="H42" s="7"/>
      <c r="I42" s="134"/>
      <c r="J42" s="134"/>
      <c r="K42" s="134"/>
      <c r="L42" s="134"/>
      <c r="M42" s="134">
        <v>3.0</v>
      </c>
      <c r="N42" s="134"/>
      <c r="O42" s="134"/>
      <c r="P42" s="134"/>
      <c r="Q42" s="134">
        <v>3.0</v>
      </c>
      <c r="R42" s="134"/>
      <c r="S42" s="134">
        <f t="shared" si="1"/>
        <v>6</v>
      </c>
      <c r="T42" s="14"/>
    </row>
    <row r="43" ht="19.5" customHeight="1">
      <c r="B43" s="57" t="s">
        <v>132</v>
      </c>
      <c r="C43" s="7"/>
      <c r="D43" s="57"/>
      <c r="E43" s="5"/>
      <c r="F43" s="7"/>
      <c r="G43" s="133" t="s">
        <v>129</v>
      </c>
      <c r="H43" s="7"/>
      <c r="I43" s="134">
        <v>2.0</v>
      </c>
      <c r="J43" s="134"/>
      <c r="K43" s="134">
        <v>1.0</v>
      </c>
      <c r="L43" s="134"/>
      <c r="M43" s="134"/>
      <c r="N43" s="134"/>
      <c r="O43" s="134"/>
      <c r="P43" s="134"/>
      <c r="Q43" s="134">
        <v>3.0</v>
      </c>
      <c r="R43" s="134">
        <v>3.0</v>
      </c>
      <c r="S43" s="134">
        <f t="shared" si="1"/>
        <v>9</v>
      </c>
      <c r="T43" s="14"/>
    </row>
    <row r="44" ht="19.5" customHeight="1">
      <c r="B44" s="57" t="s">
        <v>134</v>
      </c>
      <c r="C44" s="7"/>
      <c r="D44" s="57"/>
      <c r="E44" s="5"/>
      <c r="F44" s="7"/>
      <c r="G44" s="133" t="s">
        <v>129</v>
      </c>
      <c r="H44" s="7"/>
      <c r="I44" s="134">
        <v>2.0</v>
      </c>
      <c r="J44" s="134"/>
      <c r="K44" s="134">
        <v>1.0</v>
      </c>
      <c r="L44" s="134"/>
      <c r="M44" s="134"/>
      <c r="N44" s="134"/>
      <c r="O44" s="134"/>
      <c r="P44" s="134"/>
      <c r="Q44" s="134">
        <v>3.0</v>
      </c>
      <c r="R44" s="134"/>
      <c r="S44" s="134">
        <f t="shared" si="1"/>
        <v>6</v>
      </c>
      <c r="T44" s="14"/>
    </row>
    <row r="45" ht="19.5" customHeight="1">
      <c r="B45" s="57" t="s">
        <v>135</v>
      </c>
      <c r="C45" s="7"/>
      <c r="D45" s="57"/>
      <c r="E45" s="5"/>
      <c r="F45" s="7"/>
      <c r="G45" s="133" t="s">
        <v>129</v>
      </c>
      <c r="H45" s="7"/>
      <c r="I45" s="134"/>
      <c r="J45" s="134"/>
      <c r="K45" s="134"/>
      <c r="L45" s="134"/>
      <c r="M45" s="134">
        <v>3.0</v>
      </c>
      <c r="N45" s="134"/>
      <c r="O45" s="134"/>
      <c r="P45" s="134"/>
      <c r="Q45" s="134"/>
      <c r="R45" s="134">
        <v>3.0</v>
      </c>
      <c r="S45" s="134">
        <f t="shared" si="1"/>
        <v>6</v>
      </c>
      <c r="T45" s="14"/>
    </row>
    <row r="46" ht="19.5" customHeight="1">
      <c r="B46" s="57" t="s">
        <v>136</v>
      </c>
      <c r="C46" s="7"/>
      <c r="D46" s="57"/>
      <c r="E46" s="5"/>
      <c r="F46" s="7"/>
      <c r="G46" s="133" t="s">
        <v>129</v>
      </c>
      <c r="H46" s="7"/>
      <c r="I46" s="134">
        <v>3.0</v>
      </c>
      <c r="J46" s="134">
        <v>1.0</v>
      </c>
      <c r="K46" s="134"/>
      <c r="L46" s="134"/>
      <c r="M46" s="134"/>
      <c r="N46" s="134"/>
      <c r="O46" s="134"/>
      <c r="P46" s="134"/>
      <c r="Q46" s="134"/>
      <c r="R46" s="134">
        <v>3.0</v>
      </c>
      <c r="S46" s="134">
        <f t="shared" si="1"/>
        <v>7</v>
      </c>
      <c r="T46" s="14"/>
    </row>
    <row r="47" ht="19.5" customHeight="1">
      <c r="B47" s="57" t="s">
        <v>137</v>
      </c>
      <c r="C47" s="7"/>
      <c r="D47" s="57"/>
      <c r="E47" s="5"/>
      <c r="F47" s="7"/>
      <c r="G47" s="133" t="s">
        <v>129</v>
      </c>
      <c r="H47" s="7"/>
      <c r="I47" s="134">
        <v>3.0</v>
      </c>
      <c r="J47" s="134"/>
      <c r="K47" s="134"/>
      <c r="L47" s="134"/>
      <c r="M47" s="134"/>
      <c r="N47" s="134"/>
      <c r="O47" s="134"/>
      <c r="P47" s="134"/>
      <c r="Q47" s="134"/>
      <c r="R47" s="134">
        <v>3.0</v>
      </c>
      <c r="S47" s="134">
        <f t="shared" si="1"/>
        <v>6</v>
      </c>
      <c r="T47" s="14"/>
    </row>
    <row r="48" ht="19.5" customHeight="1">
      <c r="B48" s="57" t="s">
        <v>138</v>
      </c>
      <c r="C48" s="7"/>
      <c r="D48" s="146" t="s">
        <v>139</v>
      </c>
      <c r="E48" s="5"/>
      <c r="F48" s="5"/>
      <c r="G48" s="5"/>
      <c r="H48" s="5"/>
      <c r="I48" s="5"/>
      <c r="J48" s="5"/>
      <c r="K48" s="5"/>
      <c r="L48" s="5"/>
      <c r="M48" s="5"/>
      <c r="N48" s="5"/>
      <c r="O48" s="5"/>
      <c r="P48" s="5"/>
      <c r="Q48" s="5"/>
      <c r="R48" s="5"/>
      <c r="S48" s="7"/>
      <c r="T48" s="14"/>
    </row>
    <row r="49" ht="19.5" customHeight="1">
      <c r="B49" s="57" t="s">
        <v>140</v>
      </c>
      <c r="C49" s="7"/>
      <c r="D49" s="57"/>
      <c r="E49" s="5"/>
      <c r="F49" s="7"/>
      <c r="G49" s="133" t="s">
        <v>129</v>
      </c>
      <c r="H49" s="7"/>
      <c r="I49" s="134">
        <v>3.0</v>
      </c>
      <c r="J49" s="134"/>
      <c r="K49" s="134"/>
      <c r="L49" s="134"/>
      <c r="M49" s="134"/>
      <c r="N49" s="134"/>
      <c r="O49" s="134"/>
      <c r="P49" s="134"/>
      <c r="Q49" s="134"/>
      <c r="R49" s="134">
        <v>3.0</v>
      </c>
      <c r="S49" s="134">
        <f t="shared" ref="S49:S55" si="2">SUM(I49:R49)</f>
        <v>6</v>
      </c>
      <c r="T49" s="14"/>
    </row>
    <row r="50" ht="19.5" customHeight="1">
      <c r="B50" s="57" t="s">
        <v>141</v>
      </c>
      <c r="C50" s="7"/>
      <c r="D50" s="57"/>
      <c r="E50" s="5"/>
      <c r="F50" s="7"/>
      <c r="G50" s="133" t="s">
        <v>129</v>
      </c>
      <c r="H50" s="7"/>
      <c r="I50" s="134">
        <v>3.0</v>
      </c>
      <c r="J50" s="134"/>
      <c r="K50" s="134"/>
      <c r="L50" s="134"/>
      <c r="M50" s="134"/>
      <c r="N50" s="134"/>
      <c r="O50" s="134"/>
      <c r="P50" s="134"/>
      <c r="Q50" s="134"/>
      <c r="R50" s="134">
        <v>3.0</v>
      </c>
      <c r="S50" s="134">
        <f t="shared" si="2"/>
        <v>6</v>
      </c>
      <c r="T50" s="14"/>
    </row>
    <row r="51" ht="19.5" customHeight="1">
      <c r="B51" s="57" t="s">
        <v>142</v>
      </c>
      <c r="C51" s="7"/>
      <c r="D51" s="57"/>
      <c r="E51" s="5"/>
      <c r="F51" s="7"/>
      <c r="G51" s="133" t="s">
        <v>129</v>
      </c>
      <c r="H51" s="7"/>
      <c r="I51" s="134">
        <v>3.0</v>
      </c>
      <c r="J51" s="134"/>
      <c r="K51" s="134"/>
      <c r="L51" s="134"/>
      <c r="M51" s="134"/>
      <c r="N51" s="134"/>
      <c r="O51" s="134"/>
      <c r="P51" s="134"/>
      <c r="Q51" s="134">
        <v>3.0</v>
      </c>
      <c r="R51" s="134"/>
      <c r="S51" s="134">
        <f t="shared" si="2"/>
        <v>6</v>
      </c>
      <c r="T51" s="14"/>
    </row>
    <row r="52" ht="19.5" customHeight="1">
      <c r="B52" s="57" t="s">
        <v>143</v>
      </c>
      <c r="C52" s="7"/>
      <c r="D52" s="57"/>
      <c r="E52" s="5"/>
      <c r="F52" s="7"/>
      <c r="G52" s="133" t="s">
        <v>129</v>
      </c>
      <c r="H52" s="7"/>
      <c r="I52" s="134">
        <v>3.0</v>
      </c>
      <c r="J52" s="134"/>
      <c r="K52" s="134"/>
      <c r="L52" s="134"/>
      <c r="M52" s="134"/>
      <c r="N52" s="134"/>
      <c r="O52" s="134"/>
      <c r="P52" s="134"/>
      <c r="Q52" s="134">
        <v>3.0</v>
      </c>
      <c r="R52" s="134"/>
      <c r="S52" s="134">
        <f t="shared" si="2"/>
        <v>6</v>
      </c>
      <c r="T52" s="14"/>
    </row>
    <row r="53" ht="19.5" customHeight="1">
      <c r="B53" s="57" t="s">
        <v>144</v>
      </c>
      <c r="C53" s="7"/>
      <c r="D53" s="57"/>
      <c r="E53" s="5"/>
      <c r="F53" s="7"/>
      <c r="G53" s="133" t="s">
        <v>129</v>
      </c>
      <c r="H53" s="7"/>
      <c r="I53" s="134">
        <v>3.0</v>
      </c>
      <c r="J53" s="134"/>
      <c r="K53" s="134"/>
      <c r="L53" s="134"/>
      <c r="M53" s="134"/>
      <c r="N53" s="134"/>
      <c r="O53" s="134"/>
      <c r="P53" s="134"/>
      <c r="Q53" s="134">
        <v>3.0</v>
      </c>
      <c r="R53" s="134">
        <v>3.0</v>
      </c>
      <c r="S53" s="134">
        <f t="shared" si="2"/>
        <v>9</v>
      </c>
      <c r="T53" s="14"/>
    </row>
    <row r="54" ht="19.5" customHeight="1">
      <c r="B54" s="57" t="s">
        <v>145</v>
      </c>
      <c r="C54" s="7"/>
      <c r="D54" s="57"/>
      <c r="E54" s="5"/>
      <c r="F54" s="7"/>
      <c r="G54" s="133" t="s">
        <v>129</v>
      </c>
      <c r="H54" s="7"/>
      <c r="I54" s="134">
        <v>3.0</v>
      </c>
      <c r="J54" s="134"/>
      <c r="K54" s="134"/>
      <c r="L54" s="134"/>
      <c r="M54" s="134"/>
      <c r="N54" s="134"/>
      <c r="O54" s="134"/>
      <c r="P54" s="134"/>
      <c r="Q54" s="134">
        <v>3.0</v>
      </c>
      <c r="R54" s="134">
        <v>2.0</v>
      </c>
      <c r="S54" s="134">
        <f t="shared" si="2"/>
        <v>8</v>
      </c>
      <c r="T54" s="14"/>
    </row>
    <row r="55" ht="19.5" customHeight="1">
      <c r="B55" s="57" t="s">
        <v>146</v>
      </c>
      <c r="C55" s="7"/>
      <c r="D55" s="57"/>
      <c r="E55" s="5"/>
      <c r="F55" s="7"/>
      <c r="G55" s="133" t="s">
        <v>129</v>
      </c>
      <c r="H55" s="7"/>
      <c r="I55" s="134">
        <v>3.0</v>
      </c>
      <c r="J55" s="134"/>
      <c r="K55" s="134"/>
      <c r="L55" s="134"/>
      <c r="M55" s="134"/>
      <c r="N55" s="134"/>
      <c r="O55" s="134"/>
      <c r="P55" s="151"/>
      <c r="Q55" s="134"/>
      <c r="R55" s="134"/>
      <c r="S55" s="134">
        <f t="shared" si="2"/>
        <v>3</v>
      </c>
      <c r="T55" s="14"/>
    </row>
    <row r="56" ht="14.25" customHeight="1">
      <c r="Q56" s="152" t="s">
        <v>147</v>
      </c>
      <c r="R56" s="7"/>
      <c r="S56" s="153">
        <f>SUM(S41:S55)</f>
        <v>89</v>
      </c>
    </row>
    <row r="57" ht="14.25" customHeight="1">
      <c r="Q57" s="154"/>
      <c r="R57" s="154"/>
      <c r="S57" s="155"/>
    </row>
    <row r="58" ht="64.5" customHeight="1">
      <c r="B58" s="156" t="s">
        <v>148</v>
      </c>
      <c r="C58" s="28"/>
      <c r="D58" s="28"/>
      <c r="E58" s="28"/>
      <c r="F58" s="28"/>
      <c r="G58" s="28"/>
      <c r="H58" s="31"/>
      <c r="I58" s="156" t="s">
        <v>149</v>
      </c>
      <c r="J58" s="31"/>
      <c r="K58" s="157" t="s">
        <v>118</v>
      </c>
      <c r="L58" s="5"/>
      <c r="M58" s="5"/>
      <c r="N58" s="5"/>
      <c r="O58" s="5"/>
      <c r="P58" s="7"/>
      <c r="Q58" s="158" t="s">
        <v>150</v>
      </c>
      <c r="R58" s="159"/>
      <c r="S58" s="160" t="s">
        <v>151</v>
      </c>
      <c r="T58" s="161" t="s">
        <v>152</v>
      </c>
      <c r="U58" s="162"/>
    </row>
    <row r="59" ht="36.0" customHeight="1">
      <c r="B59" s="14"/>
      <c r="H59" s="35"/>
      <c r="I59" s="14"/>
      <c r="J59" s="35"/>
      <c r="K59" s="163" t="s">
        <v>120</v>
      </c>
      <c r="L59" s="28"/>
      <c r="M59" s="113"/>
      <c r="N59" s="164" t="s">
        <v>153</v>
      </c>
      <c r="O59" s="28"/>
      <c r="P59" s="31"/>
      <c r="Q59" s="165" t="s">
        <v>122</v>
      </c>
      <c r="R59" s="166" t="s">
        <v>123</v>
      </c>
      <c r="S59" s="120"/>
    </row>
    <row r="60" ht="35.25" customHeight="1">
      <c r="B60" s="43"/>
      <c r="C60" s="44"/>
      <c r="D60" s="44"/>
      <c r="E60" s="44"/>
      <c r="F60" s="44"/>
      <c r="G60" s="44"/>
      <c r="H60" s="45"/>
      <c r="I60" s="43"/>
      <c r="J60" s="45"/>
      <c r="K60" s="43"/>
      <c r="L60" s="44"/>
      <c r="M60" s="128"/>
      <c r="N60" s="43"/>
      <c r="O60" s="44"/>
      <c r="P60" s="45"/>
      <c r="Q60" s="167"/>
      <c r="R60" s="132"/>
      <c r="S60" s="132"/>
    </row>
    <row r="61" ht="18.75" customHeight="1">
      <c r="B61" s="168">
        <v>1.0</v>
      </c>
      <c r="C61" s="169" t="s">
        <v>154</v>
      </c>
      <c r="D61" s="5"/>
      <c r="E61" s="5"/>
      <c r="F61" s="5"/>
      <c r="G61" s="5"/>
      <c r="H61" s="7"/>
      <c r="I61" s="170"/>
      <c r="J61" s="7"/>
      <c r="K61" s="108"/>
      <c r="L61" s="5"/>
      <c r="M61" s="7"/>
      <c r="N61" s="108">
        <v>1.0</v>
      </c>
      <c r="O61" s="5"/>
      <c r="P61" s="7"/>
      <c r="Q61" s="171">
        <v>0.0</v>
      </c>
      <c r="R61" s="172">
        <v>3.0</v>
      </c>
      <c r="S61" s="173">
        <f t="shared" ref="S61:S65" si="3">SUM(K61:R61)</f>
        <v>4</v>
      </c>
    </row>
    <row r="62" ht="18.75" customHeight="1">
      <c r="B62" s="168">
        <v>2.0</v>
      </c>
      <c r="C62" s="169" t="s">
        <v>155</v>
      </c>
      <c r="D62" s="5"/>
      <c r="E62" s="5"/>
      <c r="F62" s="5"/>
      <c r="G62" s="5"/>
      <c r="H62" s="7"/>
      <c r="I62" s="170"/>
      <c r="J62" s="7"/>
      <c r="K62" s="108"/>
      <c r="L62" s="5"/>
      <c r="M62" s="7"/>
      <c r="N62" s="108"/>
      <c r="O62" s="5"/>
      <c r="P62" s="7"/>
      <c r="Q62" s="171">
        <v>5.0</v>
      </c>
      <c r="R62" s="171"/>
      <c r="S62" s="173">
        <f t="shared" si="3"/>
        <v>5</v>
      </c>
    </row>
    <row r="63" ht="18.75" customHeight="1">
      <c r="B63" s="168">
        <v>3.0</v>
      </c>
      <c r="C63" s="169" t="s">
        <v>156</v>
      </c>
      <c r="D63" s="5"/>
      <c r="E63" s="5"/>
      <c r="F63" s="5"/>
      <c r="G63" s="5"/>
      <c r="H63" s="7"/>
      <c r="I63" s="170"/>
      <c r="J63" s="7"/>
      <c r="K63" s="108"/>
      <c r="L63" s="5"/>
      <c r="M63" s="7"/>
      <c r="N63" s="108"/>
      <c r="O63" s="5"/>
      <c r="P63" s="7"/>
      <c r="Q63" s="171">
        <v>10.0</v>
      </c>
      <c r="R63" s="171"/>
      <c r="S63" s="173">
        <f t="shared" si="3"/>
        <v>10</v>
      </c>
    </row>
    <row r="64" ht="18.75" customHeight="1">
      <c r="B64" s="168">
        <v>4.0</v>
      </c>
      <c r="C64" s="169"/>
      <c r="D64" s="5"/>
      <c r="E64" s="5"/>
      <c r="F64" s="5"/>
      <c r="G64" s="5"/>
      <c r="H64" s="7"/>
      <c r="I64" s="170"/>
      <c r="J64" s="7"/>
      <c r="K64" s="108"/>
      <c r="L64" s="5"/>
      <c r="M64" s="7"/>
      <c r="N64" s="108"/>
      <c r="O64" s="5"/>
      <c r="P64" s="7"/>
      <c r="Q64" s="171"/>
      <c r="R64" s="171"/>
      <c r="S64" s="173">
        <f t="shared" si="3"/>
        <v>0</v>
      </c>
    </row>
    <row r="65" ht="18.75" customHeight="1">
      <c r="B65" s="168">
        <v>5.0</v>
      </c>
      <c r="C65" s="169"/>
      <c r="D65" s="5"/>
      <c r="E65" s="5"/>
      <c r="F65" s="5"/>
      <c r="G65" s="5"/>
      <c r="H65" s="7"/>
      <c r="I65" s="170"/>
      <c r="J65" s="7"/>
      <c r="K65" s="108"/>
      <c r="L65" s="5"/>
      <c r="M65" s="7"/>
      <c r="N65" s="108"/>
      <c r="O65" s="5"/>
      <c r="P65" s="7"/>
      <c r="Q65" s="171"/>
      <c r="R65" s="171"/>
      <c r="S65" s="173">
        <f t="shared" si="3"/>
        <v>0</v>
      </c>
    </row>
    <row r="66" ht="18.75" customHeight="1">
      <c r="B66" s="174" t="s">
        <v>157</v>
      </c>
      <c r="C66" s="28"/>
      <c r="D66" s="28"/>
      <c r="E66" s="28"/>
      <c r="F66" s="28"/>
      <c r="G66" s="28"/>
      <c r="H66" s="28"/>
      <c r="I66" s="28"/>
      <c r="J66" s="28"/>
      <c r="K66" s="28"/>
      <c r="L66" s="28"/>
      <c r="M66" s="28"/>
      <c r="N66" s="28"/>
      <c r="O66" s="28"/>
      <c r="P66" s="28"/>
      <c r="Q66" s="175" t="s">
        <v>147</v>
      </c>
      <c r="R66" s="7"/>
      <c r="S66" s="153">
        <f>SUM(S61:S65)</f>
        <v>19</v>
      </c>
    </row>
    <row r="67" ht="18.75" customHeight="1">
      <c r="Q67" s="176"/>
      <c r="R67" s="176"/>
    </row>
    <row r="68" ht="18.75" customHeight="1">
      <c r="Q68" s="176"/>
      <c r="R68" s="176"/>
    </row>
    <row r="69" ht="33.75" customHeight="1">
      <c r="B69" s="156" t="s">
        <v>158</v>
      </c>
      <c r="C69" s="28"/>
      <c r="D69" s="28"/>
      <c r="E69" s="28"/>
      <c r="F69" s="28"/>
      <c r="G69" s="28"/>
      <c r="H69" s="31"/>
      <c r="I69" s="156" t="s">
        <v>149</v>
      </c>
      <c r="J69" s="31"/>
      <c r="K69" s="157" t="s">
        <v>118</v>
      </c>
      <c r="L69" s="5"/>
      <c r="M69" s="5"/>
      <c r="N69" s="5"/>
      <c r="O69" s="5"/>
      <c r="P69" s="7"/>
      <c r="Q69" s="177" t="s">
        <v>159</v>
      </c>
      <c r="R69" s="159"/>
      <c r="S69" s="179" t="s">
        <v>151</v>
      </c>
    </row>
    <row r="70" ht="18.75" customHeight="1">
      <c r="B70" s="14"/>
      <c r="H70" s="35"/>
      <c r="I70" s="14"/>
      <c r="J70" s="35"/>
      <c r="K70" s="163" t="s">
        <v>120</v>
      </c>
      <c r="L70" s="28"/>
      <c r="M70" s="31"/>
      <c r="N70" s="164" t="s">
        <v>153</v>
      </c>
      <c r="O70" s="28"/>
      <c r="P70" s="31"/>
      <c r="Q70" s="165" t="s">
        <v>122</v>
      </c>
      <c r="R70" s="180" t="s">
        <v>123</v>
      </c>
      <c r="S70" s="181"/>
    </row>
    <row r="71" ht="48.0" customHeight="1">
      <c r="B71" s="43"/>
      <c r="C71" s="44"/>
      <c r="D71" s="44"/>
      <c r="E71" s="44"/>
      <c r="F71" s="44"/>
      <c r="G71" s="44"/>
      <c r="H71" s="45"/>
      <c r="I71" s="43"/>
      <c r="J71" s="45"/>
      <c r="K71" s="43"/>
      <c r="L71" s="44"/>
      <c r="M71" s="45"/>
      <c r="N71" s="43"/>
      <c r="O71" s="44"/>
      <c r="P71" s="45"/>
      <c r="Q71" s="167"/>
      <c r="R71" s="132"/>
      <c r="S71" s="183"/>
    </row>
    <row r="72" ht="18.75" customHeight="1">
      <c r="B72" s="168">
        <v>1.0</v>
      </c>
      <c r="C72" s="106" t="s">
        <v>160</v>
      </c>
      <c r="D72" s="5"/>
      <c r="E72" s="5"/>
      <c r="F72" s="5"/>
      <c r="G72" s="5"/>
      <c r="H72" s="7"/>
      <c r="I72" s="170"/>
      <c r="J72" s="7"/>
      <c r="K72" s="108">
        <v>3.0</v>
      </c>
      <c r="L72" s="5"/>
      <c r="M72" s="7"/>
      <c r="N72" s="108"/>
      <c r="O72" s="5"/>
      <c r="P72" s="7"/>
      <c r="Q72" s="171">
        <v>6.0</v>
      </c>
      <c r="R72" s="172"/>
      <c r="S72" s="173">
        <f t="shared" ref="S72:S76" si="4">SUM(K72:R72)</f>
        <v>9</v>
      </c>
    </row>
    <row r="73" ht="18.75" customHeight="1">
      <c r="B73" s="168">
        <v>2.0</v>
      </c>
      <c r="C73" s="106"/>
      <c r="D73" s="5"/>
      <c r="E73" s="5"/>
      <c r="F73" s="5"/>
      <c r="G73" s="5"/>
      <c r="H73" s="7"/>
      <c r="I73" s="170"/>
      <c r="J73" s="7"/>
      <c r="K73" s="108"/>
      <c r="L73" s="5"/>
      <c r="M73" s="7"/>
      <c r="N73" s="108"/>
      <c r="O73" s="5"/>
      <c r="P73" s="7"/>
      <c r="Q73" s="171"/>
      <c r="R73" s="171"/>
      <c r="S73" s="173">
        <f t="shared" si="4"/>
        <v>0</v>
      </c>
    </row>
    <row r="74" ht="18.75" customHeight="1">
      <c r="B74" s="168">
        <v>3.0</v>
      </c>
      <c r="C74" s="106"/>
      <c r="D74" s="5"/>
      <c r="E74" s="5"/>
      <c r="F74" s="5"/>
      <c r="G74" s="5"/>
      <c r="H74" s="7"/>
      <c r="I74" s="170"/>
      <c r="J74" s="7"/>
      <c r="K74" s="108"/>
      <c r="L74" s="5"/>
      <c r="M74" s="7"/>
      <c r="N74" s="108"/>
      <c r="O74" s="5"/>
      <c r="P74" s="7"/>
      <c r="Q74" s="171"/>
      <c r="R74" s="171"/>
      <c r="S74" s="173">
        <f t="shared" si="4"/>
        <v>0</v>
      </c>
    </row>
    <row r="75" ht="18.75" customHeight="1">
      <c r="B75" s="168">
        <v>4.0</v>
      </c>
      <c r="C75" s="106"/>
      <c r="D75" s="5"/>
      <c r="E75" s="5"/>
      <c r="F75" s="5"/>
      <c r="G75" s="5"/>
      <c r="H75" s="7"/>
      <c r="I75" s="170"/>
      <c r="J75" s="7"/>
      <c r="K75" s="108"/>
      <c r="L75" s="5"/>
      <c r="M75" s="7"/>
      <c r="N75" s="108"/>
      <c r="O75" s="5"/>
      <c r="P75" s="7"/>
      <c r="Q75" s="171"/>
      <c r="R75" s="171"/>
      <c r="S75" s="173">
        <f t="shared" si="4"/>
        <v>0</v>
      </c>
    </row>
    <row r="76" ht="18.75" customHeight="1">
      <c r="B76" s="168">
        <v>5.0</v>
      </c>
      <c r="C76" s="106"/>
      <c r="D76" s="5"/>
      <c r="E76" s="5"/>
      <c r="F76" s="5"/>
      <c r="G76" s="5"/>
      <c r="H76" s="7"/>
      <c r="I76" s="170"/>
      <c r="J76" s="7"/>
      <c r="K76" s="108"/>
      <c r="L76" s="5"/>
      <c r="M76" s="7"/>
      <c r="N76" s="108"/>
      <c r="O76" s="5"/>
      <c r="P76" s="7"/>
      <c r="Q76" s="171"/>
      <c r="R76" s="171"/>
      <c r="S76" s="173">
        <f t="shared" si="4"/>
        <v>0</v>
      </c>
    </row>
    <row r="77" ht="18.75" customHeight="1">
      <c r="B77" s="174" t="s">
        <v>161</v>
      </c>
      <c r="C77" s="28"/>
      <c r="D77" s="28"/>
      <c r="E77" s="28"/>
      <c r="F77" s="28"/>
      <c r="G77" s="28"/>
      <c r="H77" s="28"/>
      <c r="I77" s="28"/>
      <c r="J77" s="28"/>
      <c r="K77" s="28"/>
      <c r="L77" s="28"/>
      <c r="M77" s="28"/>
      <c r="N77" s="28"/>
      <c r="O77" s="28"/>
      <c r="P77" s="31"/>
      <c r="Q77" s="175" t="s">
        <v>147</v>
      </c>
      <c r="R77" s="7"/>
      <c r="S77" s="153">
        <f>SUM(S72:S76)</f>
        <v>9</v>
      </c>
    </row>
    <row r="78" ht="18.75" customHeight="1">
      <c r="P78" s="35"/>
      <c r="Q78" s="152" t="s">
        <v>162</v>
      </c>
      <c r="R78" s="7"/>
      <c r="S78" s="153">
        <f>SUM(S72:S76)+SUM(S61:S65)</f>
        <v>28</v>
      </c>
    </row>
    <row r="79" ht="18.75" customHeight="1">
      <c r="Q79" s="191" t="s">
        <v>163</v>
      </c>
      <c r="R79" s="191"/>
      <c r="S79" s="153">
        <f>S77+S66+S56</f>
        <v>117</v>
      </c>
    </row>
    <row r="80" ht="21.0" customHeight="1">
      <c r="B80" s="192" t="s">
        <v>164</v>
      </c>
      <c r="C80" s="193" t="s">
        <v>165</v>
      </c>
      <c r="D80" s="5"/>
      <c r="E80" s="5"/>
      <c r="F80" s="5"/>
      <c r="G80" s="5"/>
      <c r="H80" s="5"/>
      <c r="I80" s="5"/>
      <c r="J80" s="5"/>
      <c r="K80" s="5"/>
      <c r="L80" s="5"/>
      <c r="M80" s="5"/>
      <c r="N80" s="5"/>
      <c r="O80" s="5"/>
      <c r="P80" s="7"/>
      <c r="Q80" s="194">
        <f>(SUM(I41:L55)+SUM(K61:M65)+SUM(K72:M76))/(SUM(I41:R55)+SUM(K61:R65)+SUM(K72:R76))*100</f>
        <v>31.62393162</v>
      </c>
      <c r="R80" s="5"/>
      <c r="S80" s="7"/>
    </row>
    <row r="81" ht="18.75" customHeight="1">
      <c r="B81" s="192" t="s">
        <v>166</v>
      </c>
      <c r="C81" s="193" t="s">
        <v>167</v>
      </c>
      <c r="D81" s="5"/>
      <c r="E81" s="5"/>
      <c r="F81" s="5"/>
      <c r="G81" s="5"/>
      <c r="H81" s="5"/>
      <c r="I81" s="5"/>
      <c r="J81" s="5"/>
      <c r="K81" s="5"/>
      <c r="L81" s="5"/>
      <c r="M81" s="5"/>
      <c r="N81" s="5"/>
      <c r="O81" s="5"/>
      <c r="P81" s="7"/>
      <c r="Q81" s="194">
        <f>(SUM(M41:P55)+SUM(N61:P65)+SUM(N72:P76)+SUM(Q41:R55)+SUM(Q61:R65)+SUM(Q72:R76))/(SUM(I41:R55)+SUM(K61:R65)+SUM(K72:R76))*100</f>
        <v>68.37606838</v>
      </c>
      <c r="R81" s="5"/>
      <c r="S81" s="7"/>
    </row>
    <row r="82" ht="21.0" customHeight="1">
      <c r="B82" s="192" t="s">
        <v>169</v>
      </c>
      <c r="C82" s="193" t="s">
        <v>170</v>
      </c>
      <c r="D82" s="5"/>
      <c r="E82" s="5"/>
      <c r="F82" s="5"/>
      <c r="G82" s="5"/>
      <c r="H82" s="5"/>
      <c r="I82" s="5"/>
      <c r="J82" s="5"/>
      <c r="K82" s="5"/>
      <c r="L82" s="5"/>
      <c r="M82" s="5"/>
      <c r="N82" s="5"/>
      <c r="O82" s="5"/>
      <c r="P82" s="7"/>
      <c r="Q82" s="194">
        <f>(SUM(M41:Q55)+SUM(N61:Q65)+SUM(N72:Q76))/S79*100</f>
        <v>46.15384615</v>
      </c>
      <c r="R82" s="5"/>
      <c r="S82" s="7"/>
      <c r="T82" s="199" t="s">
        <v>171</v>
      </c>
    </row>
    <row r="83" ht="18.0" customHeight="1">
      <c r="B83" s="192" t="s">
        <v>172</v>
      </c>
      <c r="C83" s="193" t="s">
        <v>173</v>
      </c>
      <c r="D83" s="5"/>
      <c r="E83" s="5"/>
      <c r="F83" s="5"/>
      <c r="G83" s="5"/>
      <c r="H83" s="5"/>
      <c r="I83" s="5"/>
      <c r="J83" s="5"/>
      <c r="K83" s="5"/>
      <c r="L83" s="5"/>
      <c r="M83" s="5"/>
      <c r="N83" s="5"/>
      <c r="O83" s="5"/>
      <c r="P83" s="7"/>
      <c r="Q83" s="201">
        <f>Q84+Q85</f>
        <v>1.709401709</v>
      </c>
      <c r="R83" s="5"/>
      <c r="S83" s="7"/>
    </row>
    <row r="84" ht="18.0" customHeight="1">
      <c r="B84" s="192" t="s">
        <v>174</v>
      </c>
      <c r="C84" s="193" t="s">
        <v>175</v>
      </c>
      <c r="D84" s="5"/>
      <c r="E84" s="5"/>
      <c r="F84" s="5"/>
      <c r="G84" s="5"/>
      <c r="H84" s="5"/>
      <c r="I84" s="5"/>
      <c r="J84" s="5"/>
      <c r="K84" s="5"/>
      <c r="L84" s="5"/>
      <c r="M84" s="5"/>
      <c r="N84" s="5"/>
      <c r="O84" s="5"/>
      <c r="P84" s="7"/>
      <c r="Q84" s="201">
        <f>(SUM(K41:K55))/(SUM(I41:R55)+SUM(K61:R65)+SUM(K72:R76))*100</f>
        <v>1.709401709</v>
      </c>
      <c r="R84" s="5"/>
      <c r="S84" s="7"/>
    </row>
    <row r="85" ht="16.5" customHeight="1">
      <c r="B85" s="192" t="s">
        <v>176</v>
      </c>
      <c r="C85" s="193" t="s">
        <v>177</v>
      </c>
      <c r="D85" s="5"/>
      <c r="E85" s="5"/>
      <c r="F85" s="5"/>
      <c r="G85" s="5"/>
      <c r="H85" s="5"/>
      <c r="I85" s="5"/>
      <c r="J85" s="5"/>
      <c r="K85" s="5"/>
      <c r="L85" s="5"/>
      <c r="M85" s="5"/>
      <c r="N85" s="5"/>
      <c r="O85" s="5"/>
      <c r="P85" s="7"/>
      <c r="Q85" s="201">
        <f>(SUM(O41:O55))/(SUM(I41:R55)+SUM(K61:R65)+SUM(K72:R76))*100</f>
        <v>0</v>
      </c>
      <c r="R85" s="5"/>
      <c r="S85" s="7"/>
    </row>
    <row r="86" ht="42.0" customHeight="1">
      <c r="B86" s="99" t="s">
        <v>179</v>
      </c>
      <c r="C86" s="5"/>
      <c r="D86" s="5"/>
      <c r="E86" s="5"/>
      <c r="F86" s="5"/>
      <c r="G86" s="5"/>
      <c r="H86" s="5"/>
      <c r="I86" s="5"/>
      <c r="J86" s="5"/>
      <c r="K86" s="5"/>
      <c r="L86" s="5"/>
      <c r="M86" s="5"/>
      <c r="N86" s="5"/>
      <c r="O86" s="5"/>
      <c r="P86" s="7"/>
      <c r="Q86" s="204"/>
      <c r="R86" s="5"/>
      <c r="S86" s="7"/>
    </row>
    <row r="87" ht="14.25" customHeight="1">
      <c r="B87" s="78"/>
      <c r="D87" s="78"/>
      <c r="E87" s="78"/>
      <c r="F87" s="78"/>
      <c r="G87" s="78"/>
      <c r="H87" s="78"/>
      <c r="I87" s="78"/>
      <c r="J87" s="78"/>
      <c r="K87" s="78"/>
      <c r="L87" s="78"/>
      <c r="M87" s="78"/>
      <c r="N87" s="78"/>
      <c r="O87" s="78"/>
      <c r="P87" s="78"/>
      <c r="Q87" s="78"/>
      <c r="R87" s="78"/>
      <c r="S87" s="78"/>
    </row>
    <row r="88" ht="30.75" customHeight="1">
      <c r="B88" s="205" t="s">
        <v>180</v>
      </c>
      <c r="C88" s="5"/>
      <c r="D88" s="5"/>
      <c r="E88" s="5"/>
      <c r="F88" s="5"/>
      <c r="G88" s="5"/>
      <c r="H88" s="5"/>
      <c r="I88" s="5"/>
      <c r="J88" s="5"/>
      <c r="K88" s="5"/>
      <c r="L88" s="5"/>
      <c r="M88" s="5"/>
      <c r="N88" s="5"/>
      <c r="O88" s="5"/>
      <c r="P88" s="5"/>
      <c r="Q88" s="5"/>
      <c r="R88" s="5"/>
      <c r="S88" s="7"/>
    </row>
    <row r="89" ht="20.25" customHeight="1">
      <c r="B89" s="206"/>
      <c r="C89" s="5"/>
      <c r="D89" s="5"/>
      <c r="E89" s="5"/>
      <c r="F89" s="5"/>
      <c r="G89" s="5"/>
      <c r="H89" s="5"/>
      <c r="I89" s="5"/>
      <c r="J89" s="5"/>
      <c r="K89" s="5"/>
      <c r="L89" s="5"/>
      <c r="M89" s="5"/>
      <c r="N89" s="5"/>
      <c r="O89" s="5"/>
      <c r="P89" s="5"/>
      <c r="Q89" s="5"/>
      <c r="R89" s="5"/>
      <c r="S89" s="7"/>
    </row>
    <row r="90" ht="18.0" customHeight="1">
      <c r="B90" s="207"/>
    </row>
    <row r="91" ht="19.5" customHeight="1">
      <c r="B91" s="205" t="s">
        <v>181</v>
      </c>
      <c r="C91" s="5"/>
      <c r="D91" s="5"/>
      <c r="E91" s="5"/>
      <c r="F91" s="5"/>
      <c r="G91" s="5"/>
      <c r="H91" s="5"/>
      <c r="I91" s="5"/>
      <c r="J91" s="5"/>
      <c r="K91" s="5"/>
      <c r="L91" s="5"/>
      <c r="M91" s="5"/>
      <c r="N91" s="5"/>
      <c r="O91" s="5"/>
      <c r="P91" s="5"/>
      <c r="Q91" s="5"/>
      <c r="R91" s="5"/>
      <c r="S91" s="7"/>
    </row>
    <row r="92" ht="57.75" customHeight="1">
      <c r="B92" s="204"/>
      <c r="C92" s="5"/>
      <c r="D92" s="5"/>
      <c r="E92" s="5"/>
      <c r="F92" s="5"/>
      <c r="G92" s="5"/>
      <c r="H92" s="5"/>
      <c r="I92" s="5"/>
      <c r="J92" s="5"/>
      <c r="K92" s="5"/>
      <c r="L92" s="5"/>
      <c r="M92" s="5"/>
      <c r="N92" s="5"/>
      <c r="O92" s="5"/>
      <c r="P92" s="5"/>
      <c r="Q92" s="5"/>
      <c r="R92" s="5"/>
      <c r="S92" s="7"/>
      <c r="T92" s="208" t="s">
        <v>182</v>
      </c>
    </row>
    <row r="93" ht="17.25" customHeight="1">
      <c r="B93" s="209"/>
      <c r="C93" s="209"/>
      <c r="D93" s="209"/>
      <c r="E93" s="209"/>
      <c r="F93" s="209"/>
      <c r="G93" s="209"/>
      <c r="H93" s="209"/>
      <c r="I93" s="209"/>
      <c r="J93" s="209"/>
      <c r="K93" s="209"/>
      <c r="L93" s="209"/>
      <c r="M93" s="209"/>
      <c r="N93" s="209"/>
      <c r="O93" s="209"/>
      <c r="P93" s="210"/>
      <c r="Q93" s="210"/>
      <c r="R93" s="210"/>
      <c r="S93" s="210"/>
    </row>
    <row r="94" ht="21.0" customHeight="1">
      <c r="B94" s="211" t="s">
        <v>183</v>
      </c>
      <c r="C94" s="5"/>
      <c r="D94" s="5"/>
      <c r="E94" s="5"/>
      <c r="F94" s="5"/>
      <c r="G94" s="5"/>
      <c r="H94" s="5"/>
      <c r="I94" s="5"/>
      <c r="J94" s="5"/>
      <c r="K94" s="5"/>
      <c r="L94" s="5"/>
      <c r="M94" s="5"/>
      <c r="N94" s="5"/>
      <c r="O94" s="5"/>
      <c r="P94" s="5"/>
      <c r="Q94" s="5"/>
      <c r="R94" s="5"/>
      <c r="S94" s="7"/>
    </row>
    <row r="95" ht="21.75" customHeight="1">
      <c r="B95" s="213" t="s">
        <v>184</v>
      </c>
      <c r="C95" s="5"/>
      <c r="D95" s="5"/>
      <c r="E95" s="5"/>
      <c r="F95" s="5"/>
      <c r="G95" s="5"/>
      <c r="H95" s="5"/>
      <c r="I95" s="5"/>
      <c r="J95" s="5"/>
      <c r="K95" s="5"/>
      <c r="L95" s="5"/>
      <c r="M95" s="5"/>
      <c r="N95" s="5"/>
      <c r="O95" s="5"/>
      <c r="P95" s="5"/>
      <c r="Q95" s="5"/>
      <c r="R95" s="5"/>
      <c r="S95" s="7"/>
    </row>
    <row r="96" ht="142.5" customHeight="1">
      <c r="B96" s="99" t="s">
        <v>186</v>
      </c>
      <c r="C96" s="5"/>
      <c r="D96" s="5"/>
      <c r="E96" s="5"/>
      <c r="F96" s="5"/>
      <c r="G96" s="5"/>
      <c r="H96" s="5"/>
      <c r="I96" s="5"/>
      <c r="J96" s="5"/>
      <c r="K96" s="5"/>
      <c r="L96" s="5"/>
      <c r="M96" s="5"/>
      <c r="N96" s="5"/>
      <c r="O96" s="5"/>
      <c r="P96" s="5"/>
      <c r="Q96" s="5"/>
      <c r="R96" s="5"/>
      <c r="S96" s="7"/>
    </row>
    <row r="97" ht="30.0" customHeight="1">
      <c r="B97" s="215" t="s">
        <v>183</v>
      </c>
      <c r="C97" s="28"/>
      <c r="D97" s="28"/>
      <c r="E97" s="28"/>
      <c r="F97" s="28"/>
      <c r="G97" s="28"/>
      <c r="H97" s="28"/>
      <c r="I97" s="28"/>
      <c r="J97" s="28"/>
      <c r="K97" s="28"/>
      <c r="L97" s="28"/>
      <c r="M97" s="28"/>
      <c r="N97" s="28"/>
      <c r="O97" s="28"/>
      <c r="P97" s="28"/>
      <c r="Q97" s="28"/>
      <c r="R97" s="28"/>
      <c r="S97" s="28"/>
    </row>
    <row r="98" ht="24.0" customHeight="1">
      <c r="B98" s="216"/>
      <c r="C98" s="28"/>
      <c r="D98" s="28"/>
      <c r="E98" s="28"/>
      <c r="F98" s="28"/>
      <c r="G98" s="28"/>
      <c r="H98" s="28"/>
      <c r="I98" s="28"/>
      <c r="J98" s="28"/>
      <c r="K98" s="28"/>
      <c r="L98" s="28"/>
      <c r="M98" s="28"/>
      <c r="N98" s="28"/>
      <c r="O98" s="28"/>
      <c r="P98" s="28"/>
      <c r="Q98" s="28"/>
      <c r="R98" s="28"/>
      <c r="S98" s="31"/>
    </row>
    <row r="99" ht="36.75" customHeight="1">
      <c r="B99" s="43"/>
      <c r="C99" s="44"/>
      <c r="D99" s="44"/>
      <c r="E99" s="44"/>
      <c r="F99" s="44"/>
      <c r="G99" s="44"/>
      <c r="H99" s="44"/>
      <c r="I99" s="44"/>
      <c r="J99" s="44"/>
      <c r="K99" s="44"/>
      <c r="L99" s="44"/>
      <c r="M99" s="44"/>
      <c r="N99" s="44"/>
      <c r="O99" s="44"/>
      <c r="P99" s="44"/>
      <c r="Q99" s="44"/>
      <c r="R99" s="44"/>
      <c r="S99" s="45"/>
    </row>
    <row r="100" ht="32.25" customHeight="1">
      <c r="B100" s="217" t="s">
        <v>188</v>
      </c>
      <c r="C100" s="5"/>
      <c r="D100" s="5"/>
      <c r="E100" s="5"/>
      <c r="F100" s="5"/>
      <c r="G100" s="5"/>
      <c r="H100" s="5"/>
      <c r="I100" s="5"/>
      <c r="J100" s="5"/>
      <c r="K100" s="5"/>
      <c r="L100" s="5"/>
      <c r="M100" s="5"/>
      <c r="N100" s="5"/>
      <c r="O100" s="5"/>
      <c r="P100" s="5"/>
      <c r="Q100" s="5"/>
      <c r="R100" s="5"/>
      <c r="S100" s="5"/>
    </row>
    <row r="101" ht="85.5" customHeight="1">
      <c r="B101" s="99" t="s">
        <v>189</v>
      </c>
      <c r="C101" s="5"/>
      <c r="D101" s="5"/>
      <c r="E101" s="5"/>
      <c r="F101" s="5"/>
      <c r="G101" s="5"/>
      <c r="H101" s="5"/>
      <c r="I101" s="5"/>
      <c r="J101" s="5"/>
      <c r="K101" s="5"/>
      <c r="L101" s="5"/>
      <c r="M101" s="5"/>
      <c r="N101" s="5"/>
      <c r="O101" s="5"/>
      <c r="P101" s="5"/>
      <c r="Q101" s="5"/>
      <c r="R101" s="5"/>
      <c r="S101" s="7"/>
    </row>
    <row r="102" ht="18.0" customHeight="1"/>
    <row r="103" ht="19.5" customHeight="1">
      <c r="B103" s="219" t="s">
        <v>190</v>
      </c>
      <c r="C103" s="219"/>
      <c r="D103" s="219"/>
      <c r="E103" s="219"/>
      <c r="F103" s="219"/>
      <c r="G103" s="219"/>
      <c r="H103" s="219"/>
      <c r="I103" s="219"/>
      <c r="J103" s="219"/>
      <c r="K103" s="219"/>
      <c r="L103" s="219"/>
      <c r="M103" s="219"/>
      <c r="N103" s="219"/>
      <c r="O103" s="219"/>
      <c r="P103" s="219"/>
    </row>
    <row r="104" ht="14.25" customHeight="1">
      <c r="B104" s="220" t="s">
        <v>192</v>
      </c>
    </row>
    <row r="105" ht="51.75" customHeight="1">
      <c r="B105" s="221" t="s">
        <v>193</v>
      </c>
    </row>
    <row r="106" ht="24.0" customHeight="1"/>
    <row r="107" ht="14.25" customHeight="1">
      <c r="B107" s="222" t="s">
        <v>194</v>
      </c>
      <c r="C107" s="28"/>
      <c r="D107" s="28"/>
      <c r="E107" s="28"/>
      <c r="F107" s="28"/>
      <c r="G107" s="28"/>
      <c r="H107" s="28"/>
      <c r="I107" s="28"/>
      <c r="J107" s="28"/>
      <c r="K107" s="28"/>
      <c r="L107" s="28"/>
      <c r="M107" s="28"/>
      <c r="N107" s="31"/>
      <c r="O107" s="223" t="s">
        <v>195</v>
      </c>
      <c r="P107" s="28"/>
      <c r="Q107" s="28"/>
      <c r="R107" s="28"/>
      <c r="S107" s="31"/>
      <c r="T107" s="64" t="s">
        <v>196</v>
      </c>
    </row>
    <row r="108" ht="14.25" customHeight="1">
      <c r="B108" s="224" t="s">
        <v>197</v>
      </c>
      <c r="C108" s="225"/>
      <c r="D108" s="226"/>
      <c r="N108" s="35"/>
      <c r="O108" s="224" t="s">
        <v>197</v>
      </c>
      <c r="Q108" s="226"/>
      <c r="S108" s="35"/>
      <c r="T108" s="14"/>
    </row>
    <row r="109" ht="14.25" customHeight="1">
      <c r="B109" s="224" t="s">
        <v>199</v>
      </c>
      <c r="C109" s="225"/>
      <c r="D109" s="226"/>
      <c r="N109" s="35"/>
      <c r="O109" s="224" t="s">
        <v>199</v>
      </c>
      <c r="Q109" s="226"/>
      <c r="S109" s="35"/>
      <c r="T109" s="14"/>
    </row>
    <row r="110" ht="14.25" customHeight="1">
      <c r="B110" s="227" t="s">
        <v>200</v>
      </c>
      <c r="C110" s="44"/>
      <c r="D110" s="228">
        <v>46264.0</v>
      </c>
      <c r="E110" s="44"/>
      <c r="F110" s="44"/>
      <c r="G110" s="44"/>
      <c r="H110" s="44"/>
      <c r="I110" s="44"/>
      <c r="J110" s="44"/>
      <c r="K110" s="44"/>
      <c r="L110" s="44"/>
      <c r="M110" s="44"/>
      <c r="N110" s="45"/>
      <c r="O110" s="227" t="s">
        <v>200</v>
      </c>
      <c r="P110" s="44"/>
      <c r="Q110" s="228">
        <v>46264.0</v>
      </c>
      <c r="R110" s="44"/>
      <c r="S110" s="45"/>
      <c r="T110" s="14"/>
    </row>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25">
    <mergeCell ref="B52:C52"/>
    <mergeCell ref="D52:F52"/>
    <mergeCell ref="G52:H52"/>
    <mergeCell ref="B49:C49"/>
    <mergeCell ref="B50:C50"/>
    <mergeCell ref="D50:F50"/>
    <mergeCell ref="G50:H50"/>
    <mergeCell ref="B51:C51"/>
    <mergeCell ref="D51:F51"/>
    <mergeCell ref="G51:H51"/>
    <mergeCell ref="I38:P38"/>
    <mergeCell ref="Q38:R38"/>
    <mergeCell ref="I39:L39"/>
    <mergeCell ref="M39:P39"/>
    <mergeCell ref="B34:S34"/>
    <mergeCell ref="B36:S36"/>
    <mergeCell ref="B37:C40"/>
    <mergeCell ref="D37:F40"/>
    <mergeCell ref="G37:H40"/>
    <mergeCell ref="I37:R37"/>
    <mergeCell ref="S37:S40"/>
    <mergeCell ref="D43:F43"/>
    <mergeCell ref="G43:H43"/>
    <mergeCell ref="B47:C47"/>
    <mergeCell ref="D47:F47"/>
    <mergeCell ref="G47:H47"/>
    <mergeCell ref="B48:C48"/>
    <mergeCell ref="D48:S48"/>
    <mergeCell ref="D49:F49"/>
    <mergeCell ref="G49:H49"/>
    <mergeCell ref="B41:C41"/>
    <mergeCell ref="D41:F41"/>
    <mergeCell ref="G41:H41"/>
    <mergeCell ref="B42:C42"/>
    <mergeCell ref="D42:F42"/>
    <mergeCell ref="G42:H42"/>
    <mergeCell ref="B43:C43"/>
    <mergeCell ref="K58:P58"/>
    <mergeCell ref="K59:M60"/>
    <mergeCell ref="N59:P60"/>
    <mergeCell ref="K61:M61"/>
    <mergeCell ref="N61:P61"/>
    <mergeCell ref="K62:M62"/>
    <mergeCell ref="N62:P62"/>
    <mergeCell ref="G13:O13"/>
    <mergeCell ref="G14:O14"/>
    <mergeCell ref="R14:S14"/>
    <mergeCell ref="G15:O15"/>
    <mergeCell ref="R15:S15"/>
    <mergeCell ref="B17:S18"/>
    <mergeCell ref="C20:I20"/>
    <mergeCell ref="J20:L20"/>
    <mergeCell ref="M20:O20"/>
    <mergeCell ref="G6:M6"/>
    <mergeCell ref="N6:P6"/>
    <mergeCell ref="B6:F6"/>
    <mergeCell ref="B7:F7"/>
    <mergeCell ref="G7:M7"/>
    <mergeCell ref="N7:P7"/>
    <mergeCell ref="B5:F5"/>
    <mergeCell ref="B8:F8"/>
    <mergeCell ref="B10:F10"/>
    <mergeCell ref="B11:F11"/>
    <mergeCell ref="B12:F15"/>
    <mergeCell ref="B2:S2"/>
    <mergeCell ref="B4:F4"/>
    <mergeCell ref="G4:S4"/>
    <mergeCell ref="T4:T8"/>
    <mergeCell ref="G5:S5"/>
    <mergeCell ref="Q6:S6"/>
    <mergeCell ref="Q7:S7"/>
    <mergeCell ref="G8:S8"/>
    <mergeCell ref="G10:S10"/>
    <mergeCell ref="G11:S11"/>
    <mergeCell ref="G12:O12"/>
    <mergeCell ref="R12:S12"/>
    <mergeCell ref="T12:T15"/>
    <mergeCell ref="R13:S13"/>
    <mergeCell ref="J23:L23"/>
    <mergeCell ref="M23:O23"/>
    <mergeCell ref="C22:I22"/>
    <mergeCell ref="C23:I23"/>
    <mergeCell ref="C24:I24"/>
    <mergeCell ref="J24:L24"/>
    <mergeCell ref="C21:I21"/>
    <mergeCell ref="J21:L21"/>
    <mergeCell ref="M21:O21"/>
    <mergeCell ref="T21:T24"/>
    <mergeCell ref="U21:U24"/>
    <mergeCell ref="J22:L22"/>
    <mergeCell ref="M22:O22"/>
    <mergeCell ref="C29:K29"/>
    <mergeCell ref="C30:K30"/>
    <mergeCell ref="L30:S30"/>
    <mergeCell ref="C31:K31"/>
    <mergeCell ref="L31:S31"/>
    <mergeCell ref="T28:T31"/>
    <mergeCell ref="T33:T34"/>
    <mergeCell ref="M24:O24"/>
    <mergeCell ref="B25:S25"/>
    <mergeCell ref="B27:S27"/>
    <mergeCell ref="C28:K28"/>
    <mergeCell ref="L28:S28"/>
    <mergeCell ref="L29:S29"/>
    <mergeCell ref="B33:S33"/>
    <mergeCell ref="D46:F46"/>
    <mergeCell ref="G46:H46"/>
    <mergeCell ref="B44:C44"/>
    <mergeCell ref="D44:F44"/>
    <mergeCell ref="G44:H44"/>
    <mergeCell ref="B45:C45"/>
    <mergeCell ref="D45:F45"/>
    <mergeCell ref="G45:H45"/>
    <mergeCell ref="B46:C46"/>
    <mergeCell ref="D55:F55"/>
    <mergeCell ref="G55:H55"/>
    <mergeCell ref="B53:C53"/>
    <mergeCell ref="D53:F53"/>
    <mergeCell ref="G53:H53"/>
    <mergeCell ref="B54:C54"/>
    <mergeCell ref="D54:F54"/>
    <mergeCell ref="G54:H54"/>
    <mergeCell ref="B55:C55"/>
    <mergeCell ref="B58:H60"/>
    <mergeCell ref="I58:J60"/>
    <mergeCell ref="C61:H61"/>
    <mergeCell ref="I61:J61"/>
    <mergeCell ref="C62:H62"/>
    <mergeCell ref="I62:J62"/>
    <mergeCell ref="I63:J63"/>
    <mergeCell ref="C63:H63"/>
    <mergeCell ref="C64:H64"/>
    <mergeCell ref="I64:J64"/>
    <mergeCell ref="C65:H65"/>
    <mergeCell ref="I65:J65"/>
    <mergeCell ref="B69:H71"/>
    <mergeCell ref="I69:J71"/>
    <mergeCell ref="C75:H75"/>
    <mergeCell ref="C76:H76"/>
    <mergeCell ref="I76:J76"/>
    <mergeCell ref="C72:H72"/>
    <mergeCell ref="I72:J72"/>
    <mergeCell ref="C73:H73"/>
    <mergeCell ref="I73:J73"/>
    <mergeCell ref="C74:H74"/>
    <mergeCell ref="I74:J74"/>
    <mergeCell ref="I75:J75"/>
    <mergeCell ref="Q59:Q60"/>
    <mergeCell ref="R59:R60"/>
    <mergeCell ref="Q66:R66"/>
    <mergeCell ref="Q69:R69"/>
    <mergeCell ref="S69:S71"/>
    <mergeCell ref="Q70:Q71"/>
    <mergeCell ref="R70:R71"/>
    <mergeCell ref="Q39:Q40"/>
    <mergeCell ref="R39:R40"/>
    <mergeCell ref="T41:T55"/>
    <mergeCell ref="Q56:R56"/>
    <mergeCell ref="Q58:R58"/>
    <mergeCell ref="S58:S60"/>
    <mergeCell ref="T58:T76"/>
    <mergeCell ref="Q85:S85"/>
    <mergeCell ref="Q86:S86"/>
    <mergeCell ref="T107:T110"/>
    <mergeCell ref="Q108:S108"/>
    <mergeCell ref="Q109:S109"/>
    <mergeCell ref="Q110:S110"/>
    <mergeCell ref="Q77:R77"/>
    <mergeCell ref="Q78:R78"/>
    <mergeCell ref="Q80:S80"/>
    <mergeCell ref="Q81:S81"/>
    <mergeCell ref="Q82:S82"/>
    <mergeCell ref="Q83:S83"/>
    <mergeCell ref="Q84:S84"/>
    <mergeCell ref="K63:M63"/>
    <mergeCell ref="N63:P63"/>
    <mergeCell ref="K64:M64"/>
    <mergeCell ref="N64:P64"/>
    <mergeCell ref="K65:M65"/>
    <mergeCell ref="N65:P65"/>
    <mergeCell ref="B66:P67"/>
    <mergeCell ref="K69:P69"/>
    <mergeCell ref="K70:M71"/>
    <mergeCell ref="N70:P71"/>
    <mergeCell ref="K72:M72"/>
    <mergeCell ref="N72:P72"/>
    <mergeCell ref="K73:M73"/>
    <mergeCell ref="N73:P73"/>
    <mergeCell ref="K74:M74"/>
    <mergeCell ref="N74:P74"/>
    <mergeCell ref="K75:M75"/>
    <mergeCell ref="N75:P75"/>
    <mergeCell ref="K76:M76"/>
    <mergeCell ref="N76:P76"/>
    <mergeCell ref="B77:P78"/>
    <mergeCell ref="C80:P80"/>
    <mergeCell ref="C81:P81"/>
    <mergeCell ref="C82:P82"/>
    <mergeCell ref="C83:P83"/>
    <mergeCell ref="C84:P84"/>
    <mergeCell ref="C85:P85"/>
    <mergeCell ref="B86:P86"/>
    <mergeCell ref="B88:S88"/>
    <mergeCell ref="B89:S89"/>
    <mergeCell ref="B90:S90"/>
    <mergeCell ref="B91:S91"/>
    <mergeCell ref="B92:S92"/>
    <mergeCell ref="B94:S94"/>
    <mergeCell ref="B95:S95"/>
    <mergeCell ref="B96:S96"/>
    <mergeCell ref="B97:S97"/>
    <mergeCell ref="B98:S99"/>
    <mergeCell ref="B100:S100"/>
    <mergeCell ref="B101:S101"/>
    <mergeCell ref="B104:S104"/>
    <mergeCell ref="B105:S105"/>
    <mergeCell ref="D110:N110"/>
    <mergeCell ref="O110:P110"/>
    <mergeCell ref="B107:N107"/>
    <mergeCell ref="O107:S107"/>
    <mergeCell ref="D108:N108"/>
    <mergeCell ref="O108:P108"/>
    <mergeCell ref="D109:N109"/>
    <mergeCell ref="O109:P109"/>
    <mergeCell ref="B110:C110"/>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5"/>
    <pageSetUpPr/>
  </sheetPr>
  <sheetViews>
    <sheetView showGridLines="0" workbookViewId="0"/>
  </sheetViews>
  <sheetFormatPr customHeight="1" defaultColWidth="14.43" defaultRowHeight="15.0"/>
  <cols>
    <col customWidth="1" min="1" max="1" width="2.43"/>
    <col customWidth="1" min="2" max="2" width="8.86"/>
    <col customWidth="1" min="3" max="3" width="4.43"/>
    <col customWidth="1" min="4" max="4" width="3.0"/>
    <col customWidth="1" min="5" max="5" width="3.43"/>
    <col customWidth="1" min="6" max="6" width="3.14"/>
    <col customWidth="1" min="7" max="8" width="3.86"/>
    <col customWidth="1" min="9" max="9" width="7.0"/>
    <col customWidth="1" min="10" max="12" width="2.57"/>
    <col customWidth="1" min="13" max="13" width="3.43"/>
    <col customWidth="1" min="14" max="14" width="3.0"/>
    <col customWidth="1" min="15" max="15" width="3.86"/>
    <col customWidth="1" min="16" max="17" width="8.43"/>
    <col customWidth="1" min="18" max="18" width="19.57"/>
    <col customWidth="1" min="19" max="19" width="25.29"/>
    <col customWidth="1" min="20" max="20" width="77.86"/>
    <col customWidth="1" min="21" max="21" width="74.43"/>
    <col customWidth="1" min="22" max="26" width="8.86"/>
  </cols>
  <sheetData>
    <row r="1" ht="14.25" customHeight="1"/>
    <row r="2" ht="46.5" customHeight="1">
      <c r="B2" s="2" t="s">
        <v>1</v>
      </c>
    </row>
    <row r="3" ht="14.25" customHeight="1"/>
    <row r="4" ht="20.25" customHeight="1">
      <c r="B4" s="4" t="s">
        <v>4</v>
      </c>
      <c r="C4" s="5"/>
      <c r="D4" s="5"/>
      <c r="E4" s="5"/>
      <c r="F4" s="7"/>
      <c r="G4" s="9" t="s">
        <v>7</v>
      </c>
      <c r="H4" s="5"/>
      <c r="I4" s="5"/>
      <c r="J4" s="5"/>
      <c r="K4" s="5"/>
      <c r="L4" s="5"/>
      <c r="M4" s="5"/>
      <c r="N4" s="5"/>
      <c r="O4" s="5"/>
      <c r="P4" s="5"/>
      <c r="Q4" s="5"/>
      <c r="R4" s="5"/>
      <c r="S4" s="7"/>
      <c r="T4" s="10" t="s">
        <v>9</v>
      </c>
    </row>
    <row r="5" ht="20.25" customHeight="1">
      <c r="B5" s="11" t="s">
        <v>10</v>
      </c>
      <c r="C5" s="5"/>
      <c r="D5" s="5"/>
      <c r="E5" s="5"/>
      <c r="F5" s="7"/>
      <c r="G5" s="12" t="s">
        <v>11</v>
      </c>
      <c r="H5" s="5"/>
      <c r="I5" s="5"/>
      <c r="J5" s="5"/>
      <c r="K5" s="5"/>
      <c r="L5" s="5"/>
      <c r="M5" s="5"/>
      <c r="N5" s="5"/>
      <c r="O5" s="5"/>
      <c r="P5" s="5"/>
      <c r="Q5" s="5"/>
      <c r="R5" s="5"/>
      <c r="S5" s="7"/>
      <c r="T5" s="14"/>
    </row>
    <row r="6" ht="24.0" customHeight="1">
      <c r="B6" s="11" t="s">
        <v>13</v>
      </c>
      <c r="C6" s="5"/>
      <c r="D6" s="5"/>
      <c r="E6" s="5"/>
      <c r="F6" s="7"/>
      <c r="G6" s="15" t="s">
        <v>15</v>
      </c>
      <c r="H6" s="5"/>
      <c r="I6" s="5"/>
      <c r="J6" s="5"/>
      <c r="K6" s="5"/>
      <c r="L6" s="5"/>
      <c r="M6" s="7"/>
      <c r="N6" s="16" t="s">
        <v>17</v>
      </c>
      <c r="O6" s="5"/>
      <c r="P6" s="7"/>
      <c r="Q6" s="15" t="s">
        <v>19</v>
      </c>
      <c r="R6" s="5"/>
      <c r="S6" s="7"/>
      <c r="T6" s="14"/>
    </row>
    <row r="7" ht="48.0" customHeight="1">
      <c r="B7" s="11" t="s">
        <v>20</v>
      </c>
      <c r="C7" s="5"/>
      <c r="D7" s="5"/>
      <c r="E7" s="5"/>
      <c r="F7" s="7"/>
      <c r="G7" s="15" t="s">
        <v>22</v>
      </c>
      <c r="H7" s="5"/>
      <c r="I7" s="5"/>
      <c r="J7" s="5"/>
      <c r="K7" s="5"/>
      <c r="L7" s="5"/>
      <c r="M7" s="7"/>
      <c r="N7" s="16" t="s">
        <v>23</v>
      </c>
      <c r="O7" s="5"/>
      <c r="P7" s="7"/>
      <c r="Q7" s="15"/>
      <c r="R7" s="5"/>
      <c r="S7" s="7"/>
      <c r="T7" s="14"/>
    </row>
    <row r="8" ht="20.25" customHeight="1">
      <c r="B8" s="11" t="s">
        <v>24</v>
      </c>
      <c r="C8" s="5"/>
      <c r="D8" s="5"/>
      <c r="E8" s="5"/>
      <c r="F8" s="7"/>
      <c r="G8" s="15">
        <v>3.0</v>
      </c>
      <c r="H8" s="5"/>
      <c r="I8" s="5"/>
      <c r="J8" s="5"/>
      <c r="K8" s="5"/>
      <c r="L8" s="5"/>
      <c r="M8" s="5"/>
      <c r="N8" s="5"/>
      <c r="O8" s="5"/>
      <c r="P8" s="5"/>
      <c r="Q8" s="5"/>
      <c r="R8" s="5"/>
      <c r="S8" s="7"/>
      <c r="T8" s="14"/>
    </row>
    <row r="9" ht="14.25" customHeight="1"/>
    <row r="10" ht="135.0" customHeight="1">
      <c r="B10" s="18" t="s">
        <v>27</v>
      </c>
      <c r="C10" s="5"/>
      <c r="D10" s="5"/>
      <c r="E10" s="5"/>
      <c r="F10" s="7"/>
      <c r="G10" s="19" t="s">
        <v>30</v>
      </c>
      <c r="H10" s="5"/>
      <c r="I10" s="5"/>
      <c r="J10" s="5"/>
      <c r="K10" s="5"/>
      <c r="L10" s="5"/>
      <c r="M10" s="5"/>
      <c r="N10" s="5"/>
      <c r="O10" s="5"/>
      <c r="P10" s="5"/>
      <c r="Q10" s="5"/>
      <c r="R10" s="5"/>
      <c r="S10" s="7"/>
      <c r="T10" s="21" t="s">
        <v>33</v>
      </c>
    </row>
    <row r="11" ht="64.5" customHeight="1">
      <c r="B11" s="18" t="s">
        <v>34</v>
      </c>
      <c r="C11" s="5"/>
      <c r="D11" s="5"/>
      <c r="E11" s="5"/>
      <c r="F11" s="7"/>
      <c r="G11" s="22"/>
      <c r="H11" s="5"/>
      <c r="I11" s="5"/>
      <c r="J11" s="5"/>
      <c r="K11" s="5"/>
      <c r="L11" s="5"/>
      <c r="M11" s="5"/>
      <c r="N11" s="5"/>
      <c r="O11" s="5"/>
      <c r="P11" s="5"/>
      <c r="Q11" s="5"/>
      <c r="R11" s="5"/>
      <c r="S11" s="7"/>
      <c r="T11" s="24" t="s">
        <v>9</v>
      </c>
    </row>
    <row r="12" ht="24.75" customHeight="1">
      <c r="B12" s="26" t="s">
        <v>37</v>
      </c>
      <c r="C12" s="28"/>
      <c r="D12" s="28"/>
      <c r="E12" s="28"/>
      <c r="F12" s="31"/>
      <c r="G12" s="18" t="s">
        <v>39</v>
      </c>
      <c r="H12" s="5"/>
      <c r="I12" s="5"/>
      <c r="J12" s="5"/>
      <c r="K12" s="5"/>
      <c r="L12" s="5"/>
      <c r="M12" s="5"/>
      <c r="N12" s="5"/>
      <c r="O12" s="7"/>
      <c r="P12" s="33" t="s">
        <v>40</v>
      </c>
      <c r="Q12" s="33" t="s">
        <v>41</v>
      </c>
      <c r="R12" s="18" t="s">
        <v>42</v>
      </c>
      <c r="S12" s="7"/>
      <c r="T12" s="10" t="s">
        <v>9</v>
      </c>
    </row>
    <row r="13" ht="10.5" customHeight="1">
      <c r="B13" s="14"/>
      <c r="F13" s="35"/>
      <c r="G13" s="36"/>
      <c r="H13" s="5"/>
      <c r="I13" s="5"/>
      <c r="J13" s="5"/>
      <c r="K13" s="5"/>
      <c r="L13" s="5"/>
      <c r="M13" s="5"/>
      <c r="N13" s="5"/>
      <c r="O13" s="5"/>
      <c r="P13" s="38"/>
      <c r="Q13" s="38"/>
      <c r="R13" s="39"/>
      <c r="S13" s="7"/>
      <c r="T13" s="14"/>
    </row>
    <row r="14" ht="15.75" customHeight="1">
      <c r="B14" s="14"/>
      <c r="F14" s="35"/>
      <c r="G14" s="15"/>
      <c r="H14" s="5"/>
      <c r="I14" s="5"/>
      <c r="J14" s="5"/>
      <c r="K14" s="5"/>
      <c r="L14" s="5"/>
      <c r="M14" s="5"/>
      <c r="N14" s="5"/>
      <c r="O14" s="5"/>
      <c r="P14" s="41"/>
      <c r="Q14" s="41"/>
      <c r="R14" s="15"/>
      <c r="S14" s="7"/>
      <c r="T14" s="14"/>
    </row>
    <row r="15" ht="15.75" customHeight="1">
      <c r="B15" s="43"/>
      <c r="C15" s="44"/>
      <c r="D15" s="44"/>
      <c r="E15" s="44"/>
      <c r="F15" s="45"/>
      <c r="G15" s="15"/>
      <c r="H15" s="5"/>
      <c r="I15" s="5"/>
      <c r="J15" s="5"/>
      <c r="K15" s="5"/>
      <c r="L15" s="5"/>
      <c r="M15" s="5"/>
      <c r="N15" s="5"/>
      <c r="O15" s="5"/>
      <c r="P15" s="41"/>
      <c r="Q15" s="41"/>
      <c r="R15" s="15"/>
      <c r="S15" s="7"/>
      <c r="T15" s="14"/>
    </row>
    <row r="16" ht="14.25" customHeight="1"/>
    <row r="17" ht="14.25" customHeight="1">
      <c r="B17" s="46" t="s">
        <v>44</v>
      </c>
    </row>
    <row r="18" ht="14.25" customHeight="1"/>
    <row r="19" ht="14.25" customHeight="1"/>
    <row r="20" ht="66.0" customHeight="1">
      <c r="A20" s="47"/>
      <c r="B20" s="48" t="s">
        <v>45</v>
      </c>
      <c r="C20" s="49" t="s">
        <v>46</v>
      </c>
      <c r="D20" s="5"/>
      <c r="E20" s="5"/>
      <c r="F20" s="5"/>
      <c r="G20" s="5"/>
      <c r="H20" s="5"/>
      <c r="I20" s="7"/>
      <c r="J20" s="50" t="s">
        <v>48</v>
      </c>
      <c r="K20" s="5"/>
      <c r="L20" s="7"/>
      <c r="M20" s="16" t="s">
        <v>51</v>
      </c>
      <c r="N20" s="5"/>
      <c r="O20" s="7"/>
      <c r="P20" s="54" t="s">
        <v>52</v>
      </c>
      <c r="Q20" s="54" t="s">
        <v>55</v>
      </c>
      <c r="R20" s="54" t="s">
        <v>56</v>
      </c>
      <c r="S20" s="54" t="s">
        <v>57</v>
      </c>
      <c r="T20" s="47"/>
      <c r="U20" s="47"/>
      <c r="V20" s="47"/>
      <c r="W20" s="47"/>
      <c r="X20" s="47"/>
      <c r="Y20" s="47"/>
      <c r="Z20" s="47"/>
    </row>
    <row r="21" ht="36.0" customHeight="1">
      <c r="B21" s="56" t="s">
        <v>59</v>
      </c>
      <c r="C21" s="58" t="s">
        <v>60</v>
      </c>
      <c r="D21" s="5"/>
      <c r="E21" s="5"/>
      <c r="F21" s="5"/>
      <c r="G21" s="5"/>
      <c r="H21" s="5"/>
      <c r="I21" s="7"/>
      <c r="J21" s="58" t="s">
        <v>61</v>
      </c>
      <c r="K21" s="5"/>
      <c r="L21" s="7"/>
      <c r="M21" s="58" t="s">
        <v>62</v>
      </c>
      <c r="N21" s="5"/>
      <c r="O21" s="7"/>
      <c r="P21" s="60"/>
      <c r="Q21" s="61"/>
      <c r="R21" s="62" t="s">
        <v>63</v>
      </c>
      <c r="S21" s="58" t="s">
        <v>64</v>
      </c>
      <c r="T21" s="64" t="s">
        <v>66</v>
      </c>
      <c r="U21" s="67"/>
    </row>
    <row r="22" ht="63.75" customHeight="1">
      <c r="B22" s="56" t="s">
        <v>67</v>
      </c>
      <c r="C22" s="69" t="s">
        <v>68</v>
      </c>
      <c r="D22" s="5"/>
      <c r="E22" s="5"/>
      <c r="F22" s="5"/>
      <c r="G22" s="5"/>
      <c r="H22" s="5"/>
      <c r="I22" s="7"/>
      <c r="J22" s="58" t="s">
        <v>71</v>
      </c>
      <c r="K22" s="5"/>
      <c r="L22" s="7"/>
      <c r="M22" s="58" t="s">
        <v>72</v>
      </c>
      <c r="N22" s="5"/>
      <c r="O22" s="7"/>
      <c r="P22" s="72" t="s">
        <v>73</v>
      </c>
      <c r="Q22" s="61"/>
      <c r="R22" s="62" t="s">
        <v>75</v>
      </c>
      <c r="S22" s="74" t="s">
        <v>76</v>
      </c>
      <c r="T22" s="14"/>
    </row>
    <row r="23" ht="42.75" customHeight="1">
      <c r="B23" s="56" t="s">
        <v>77</v>
      </c>
      <c r="C23" s="69" t="s">
        <v>79</v>
      </c>
      <c r="D23" s="5"/>
      <c r="E23" s="5"/>
      <c r="F23" s="5"/>
      <c r="G23" s="5"/>
      <c r="H23" s="5"/>
      <c r="I23" s="7"/>
      <c r="J23" s="58" t="s">
        <v>81</v>
      </c>
      <c r="K23" s="5"/>
      <c r="L23" s="7"/>
      <c r="M23" s="58" t="s">
        <v>83</v>
      </c>
      <c r="N23" s="5"/>
      <c r="O23" s="7"/>
      <c r="P23" s="60"/>
      <c r="Q23" s="79" t="s">
        <v>85</v>
      </c>
      <c r="R23" s="62" t="s">
        <v>87</v>
      </c>
      <c r="S23" s="74" t="s">
        <v>88</v>
      </c>
      <c r="T23" s="14"/>
    </row>
    <row r="24" ht="36.0" customHeight="1">
      <c r="B24" s="56" t="s">
        <v>89</v>
      </c>
      <c r="C24" s="58" t="s">
        <v>90</v>
      </c>
      <c r="D24" s="5"/>
      <c r="E24" s="5"/>
      <c r="F24" s="5"/>
      <c r="G24" s="5"/>
      <c r="H24" s="5"/>
      <c r="I24" s="7"/>
      <c r="J24" s="58" t="s">
        <v>91</v>
      </c>
      <c r="K24" s="5"/>
      <c r="L24" s="7"/>
      <c r="M24" s="58" t="s">
        <v>92</v>
      </c>
      <c r="N24" s="5"/>
      <c r="O24" s="7"/>
      <c r="P24" s="60"/>
      <c r="Q24" s="61"/>
      <c r="R24" s="62" t="s">
        <v>94</v>
      </c>
      <c r="S24" s="74" t="s">
        <v>95</v>
      </c>
      <c r="T24" s="14"/>
    </row>
    <row r="25" ht="337.5" customHeight="1">
      <c r="B25" s="99" t="s">
        <v>104</v>
      </c>
      <c r="C25" s="5"/>
      <c r="D25" s="5"/>
      <c r="E25" s="5"/>
      <c r="F25" s="5"/>
      <c r="G25" s="5"/>
      <c r="H25" s="5"/>
      <c r="I25" s="5"/>
      <c r="J25" s="5"/>
      <c r="K25" s="5"/>
      <c r="L25" s="5"/>
      <c r="M25" s="5"/>
      <c r="N25" s="5"/>
      <c r="O25" s="5"/>
      <c r="P25" s="5"/>
      <c r="Q25" s="5"/>
      <c r="R25" s="5"/>
      <c r="S25" s="7"/>
      <c r="T25" s="98"/>
    </row>
    <row r="26" ht="22.5" customHeight="1">
      <c r="B26" s="101"/>
      <c r="C26" s="101"/>
      <c r="D26" s="101"/>
      <c r="E26" s="101"/>
      <c r="F26" s="101"/>
      <c r="G26" s="101"/>
      <c r="H26" s="101"/>
      <c r="I26" s="101"/>
      <c r="J26" s="101"/>
      <c r="K26" s="101"/>
      <c r="L26" s="101"/>
      <c r="M26" s="101"/>
      <c r="N26" s="101"/>
      <c r="O26" s="101"/>
      <c r="P26" s="101"/>
      <c r="Q26" s="101"/>
      <c r="R26" s="101"/>
      <c r="S26" s="101"/>
    </row>
    <row r="27" ht="14.25" customHeight="1">
      <c r="B27" s="103" t="s">
        <v>105</v>
      </c>
      <c r="C27" s="44"/>
      <c r="D27" s="44"/>
      <c r="E27" s="44"/>
      <c r="F27" s="44"/>
      <c r="G27" s="44"/>
      <c r="H27" s="44"/>
      <c r="I27" s="44"/>
      <c r="J27" s="44"/>
      <c r="K27" s="44"/>
      <c r="L27" s="44"/>
      <c r="M27" s="44"/>
      <c r="N27" s="44"/>
      <c r="O27" s="44"/>
      <c r="P27" s="44"/>
      <c r="Q27" s="44"/>
      <c r="R27" s="44"/>
      <c r="S27" s="44"/>
    </row>
    <row r="28" ht="14.25" customHeight="1">
      <c r="B28" s="104" t="s">
        <v>45</v>
      </c>
      <c r="C28" s="105" t="s">
        <v>106</v>
      </c>
      <c r="D28" s="5"/>
      <c r="E28" s="5"/>
      <c r="F28" s="5"/>
      <c r="G28" s="5"/>
      <c r="H28" s="5"/>
      <c r="I28" s="5"/>
      <c r="J28" s="5"/>
      <c r="K28" s="7"/>
      <c r="L28" s="105" t="s">
        <v>107</v>
      </c>
      <c r="M28" s="5"/>
      <c r="N28" s="5"/>
      <c r="O28" s="5"/>
      <c r="P28" s="5"/>
      <c r="Q28" s="5"/>
      <c r="R28" s="5"/>
      <c r="S28" s="7"/>
      <c r="T28" s="10" t="s">
        <v>9</v>
      </c>
    </row>
    <row r="29" ht="14.25" customHeight="1">
      <c r="B29" s="56">
        <v>1.0</v>
      </c>
      <c r="C29" s="106"/>
      <c r="D29" s="5"/>
      <c r="E29" s="5"/>
      <c r="F29" s="5"/>
      <c r="G29" s="5"/>
      <c r="H29" s="5"/>
      <c r="I29" s="5"/>
      <c r="J29" s="5"/>
      <c r="K29" s="7"/>
      <c r="L29" s="107"/>
      <c r="M29" s="5"/>
      <c r="N29" s="5"/>
      <c r="O29" s="5"/>
      <c r="P29" s="5"/>
      <c r="Q29" s="5"/>
      <c r="R29" s="5"/>
      <c r="S29" s="7"/>
      <c r="T29" s="14"/>
    </row>
    <row r="30" ht="14.25" customHeight="1">
      <c r="B30" s="56">
        <v>2.0</v>
      </c>
      <c r="C30" s="108"/>
      <c r="D30" s="5"/>
      <c r="E30" s="5"/>
      <c r="F30" s="5"/>
      <c r="G30" s="5"/>
      <c r="H30" s="5"/>
      <c r="I30" s="5"/>
      <c r="J30" s="5"/>
      <c r="K30" s="7"/>
      <c r="L30" s="108"/>
      <c r="M30" s="5"/>
      <c r="N30" s="5"/>
      <c r="O30" s="5"/>
      <c r="P30" s="5"/>
      <c r="Q30" s="5"/>
      <c r="R30" s="5"/>
      <c r="S30" s="7"/>
      <c r="T30" s="14"/>
    </row>
    <row r="31" ht="16.5" customHeight="1">
      <c r="B31" s="56">
        <v>3.0</v>
      </c>
      <c r="C31" s="106"/>
      <c r="D31" s="5"/>
      <c r="E31" s="5"/>
      <c r="F31" s="5"/>
      <c r="G31" s="5"/>
      <c r="H31" s="5"/>
      <c r="I31" s="5"/>
      <c r="J31" s="5"/>
      <c r="K31" s="7"/>
      <c r="L31" s="99"/>
      <c r="M31" s="5"/>
      <c r="N31" s="5"/>
      <c r="O31" s="5"/>
      <c r="P31" s="5"/>
      <c r="Q31" s="5"/>
      <c r="R31" s="5"/>
      <c r="S31" s="7"/>
      <c r="T31" s="14"/>
    </row>
    <row r="32" ht="14.25" customHeight="1"/>
    <row r="33" ht="28.5" customHeight="1">
      <c r="B33" s="110" t="s">
        <v>109</v>
      </c>
      <c r="C33" s="5"/>
      <c r="D33" s="5"/>
      <c r="E33" s="5"/>
      <c r="F33" s="5"/>
      <c r="G33" s="5"/>
      <c r="H33" s="5"/>
      <c r="I33" s="5"/>
      <c r="J33" s="5"/>
      <c r="K33" s="5"/>
      <c r="L33" s="5"/>
      <c r="M33" s="5"/>
      <c r="N33" s="5"/>
      <c r="O33" s="5"/>
      <c r="P33" s="5"/>
      <c r="Q33" s="5"/>
      <c r="R33" s="5"/>
      <c r="S33" s="7"/>
      <c r="T33" s="10" t="s">
        <v>9</v>
      </c>
    </row>
    <row r="34" ht="38.25" customHeight="1">
      <c r="B34" s="99"/>
      <c r="C34" s="5"/>
      <c r="D34" s="5"/>
      <c r="E34" s="5"/>
      <c r="F34" s="5"/>
      <c r="G34" s="5"/>
      <c r="H34" s="5"/>
      <c r="I34" s="5"/>
      <c r="J34" s="5"/>
      <c r="K34" s="5"/>
      <c r="L34" s="5"/>
      <c r="M34" s="5"/>
      <c r="N34" s="5"/>
      <c r="O34" s="5"/>
      <c r="P34" s="5"/>
      <c r="Q34" s="5"/>
      <c r="R34" s="5"/>
      <c r="S34" s="7"/>
      <c r="T34" s="14"/>
    </row>
    <row r="35" ht="15.0" customHeight="1"/>
    <row r="36" ht="14.25" customHeight="1">
      <c r="B36" s="111" t="s">
        <v>110</v>
      </c>
    </row>
    <row r="37" ht="19.5" customHeight="1">
      <c r="B37" s="112" t="s">
        <v>111</v>
      </c>
      <c r="C37" s="113"/>
      <c r="D37" s="112" t="s">
        <v>113</v>
      </c>
      <c r="E37" s="28"/>
      <c r="F37" s="31"/>
      <c r="G37" s="112" t="s">
        <v>114</v>
      </c>
      <c r="H37" s="31"/>
      <c r="I37" s="114" t="s">
        <v>116</v>
      </c>
      <c r="J37" s="5"/>
      <c r="K37" s="5"/>
      <c r="L37" s="5"/>
      <c r="M37" s="5"/>
      <c r="N37" s="5"/>
      <c r="O37" s="5"/>
      <c r="P37" s="5"/>
      <c r="Q37" s="5"/>
      <c r="R37" s="7"/>
      <c r="S37" s="115" t="s">
        <v>117</v>
      </c>
    </row>
    <row r="38" ht="40.5" customHeight="1">
      <c r="B38" s="14"/>
      <c r="C38" s="116"/>
      <c r="D38" s="14"/>
      <c r="F38" s="35"/>
      <c r="G38" s="14"/>
      <c r="H38" s="35"/>
      <c r="I38" s="117" t="s">
        <v>118</v>
      </c>
      <c r="J38" s="5"/>
      <c r="K38" s="5"/>
      <c r="L38" s="5"/>
      <c r="M38" s="5"/>
      <c r="N38" s="5"/>
      <c r="O38" s="5"/>
      <c r="P38" s="7"/>
      <c r="Q38" s="119" t="s">
        <v>119</v>
      </c>
      <c r="R38" s="7"/>
      <c r="S38" s="120"/>
    </row>
    <row r="39" ht="46.5" customHeight="1">
      <c r="B39" s="14"/>
      <c r="C39" s="116"/>
      <c r="D39" s="14"/>
      <c r="F39" s="35"/>
      <c r="G39" s="14"/>
      <c r="H39" s="35"/>
      <c r="I39" s="122" t="s">
        <v>120</v>
      </c>
      <c r="J39" s="5"/>
      <c r="K39" s="5"/>
      <c r="L39" s="7"/>
      <c r="M39" s="125" t="s">
        <v>121</v>
      </c>
      <c r="N39" s="5"/>
      <c r="O39" s="5"/>
      <c r="P39" s="7"/>
      <c r="Q39" s="126" t="s">
        <v>122</v>
      </c>
      <c r="R39" s="127" t="s">
        <v>123</v>
      </c>
      <c r="S39" s="120"/>
    </row>
    <row r="40" ht="14.25" customHeight="1">
      <c r="B40" s="43"/>
      <c r="C40" s="128"/>
      <c r="D40" s="43"/>
      <c r="E40" s="44"/>
      <c r="F40" s="45"/>
      <c r="G40" s="43"/>
      <c r="H40" s="45"/>
      <c r="I40" s="129" t="s">
        <v>124</v>
      </c>
      <c r="J40" s="129" t="s">
        <v>125</v>
      </c>
      <c r="K40" s="129" t="s">
        <v>126</v>
      </c>
      <c r="L40" s="129" t="s">
        <v>127</v>
      </c>
      <c r="M40" s="129" t="s">
        <v>124</v>
      </c>
      <c r="N40" s="129" t="s">
        <v>125</v>
      </c>
      <c r="O40" s="129" t="s">
        <v>126</v>
      </c>
      <c r="P40" s="129" t="s">
        <v>127</v>
      </c>
      <c r="Q40" s="132"/>
      <c r="R40" s="132"/>
      <c r="S40" s="132"/>
    </row>
    <row r="41" ht="19.5" customHeight="1">
      <c r="B41" s="57" t="s">
        <v>128</v>
      </c>
      <c r="C41" s="7"/>
      <c r="D41" s="57"/>
      <c r="E41" s="5"/>
      <c r="F41" s="7"/>
      <c r="G41" s="133" t="s">
        <v>129</v>
      </c>
      <c r="H41" s="7"/>
      <c r="I41" s="134"/>
      <c r="J41" s="134"/>
      <c r="K41" s="134"/>
      <c r="L41" s="134"/>
      <c r="M41" s="134">
        <v>3.0</v>
      </c>
      <c r="N41" s="134"/>
      <c r="O41" s="134"/>
      <c r="P41" s="134"/>
      <c r="Q41" s="134">
        <v>2.0</v>
      </c>
      <c r="R41" s="134"/>
      <c r="S41" s="134">
        <f t="shared" ref="S41:S47" si="1">SUM(I41:R41)</f>
        <v>5</v>
      </c>
      <c r="T41" s="64" t="s">
        <v>130</v>
      </c>
    </row>
    <row r="42" ht="19.5" customHeight="1">
      <c r="B42" s="57" t="s">
        <v>131</v>
      </c>
      <c r="C42" s="7"/>
      <c r="D42" s="57"/>
      <c r="E42" s="5"/>
      <c r="F42" s="7"/>
      <c r="G42" s="133" t="s">
        <v>129</v>
      </c>
      <c r="H42" s="7"/>
      <c r="I42" s="134"/>
      <c r="J42" s="134"/>
      <c r="K42" s="134"/>
      <c r="L42" s="134"/>
      <c r="M42" s="134">
        <v>3.0</v>
      </c>
      <c r="N42" s="134"/>
      <c r="O42" s="134"/>
      <c r="P42" s="134"/>
      <c r="Q42" s="134">
        <v>3.0</v>
      </c>
      <c r="R42" s="134"/>
      <c r="S42" s="134">
        <f t="shared" si="1"/>
        <v>6</v>
      </c>
      <c r="T42" s="14"/>
    </row>
    <row r="43" ht="19.5" customHeight="1">
      <c r="B43" s="57" t="s">
        <v>132</v>
      </c>
      <c r="C43" s="7"/>
      <c r="D43" s="57"/>
      <c r="E43" s="5"/>
      <c r="F43" s="7"/>
      <c r="G43" s="133" t="s">
        <v>129</v>
      </c>
      <c r="H43" s="7"/>
      <c r="I43" s="134">
        <v>2.0</v>
      </c>
      <c r="J43" s="134"/>
      <c r="K43" s="134">
        <v>1.0</v>
      </c>
      <c r="L43" s="134"/>
      <c r="M43" s="134"/>
      <c r="N43" s="134"/>
      <c r="O43" s="134"/>
      <c r="P43" s="134"/>
      <c r="Q43" s="134">
        <v>3.0</v>
      </c>
      <c r="R43" s="134">
        <v>3.0</v>
      </c>
      <c r="S43" s="134">
        <f t="shared" si="1"/>
        <v>9</v>
      </c>
      <c r="T43" s="14"/>
    </row>
    <row r="44" ht="19.5" customHeight="1">
      <c r="B44" s="57" t="s">
        <v>134</v>
      </c>
      <c r="C44" s="7"/>
      <c r="D44" s="57"/>
      <c r="E44" s="5"/>
      <c r="F44" s="7"/>
      <c r="G44" s="133" t="s">
        <v>129</v>
      </c>
      <c r="H44" s="7"/>
      <c r="I44" s="134">
        <v>2.0</v>
      </c>
      <c r="J44" s="134"/>
      <c r="K44" s="134">
        <v>1.0</v>
      </c>
      <c r="L44" s="134"/>
      <c r="M44" s="134"/>
      <c r="N44" s="134"/>
      <c r="O44" s="134"/>
      <c r="P44" s="134"/>
      <c r="Q44" s="134">
        <v>3.0</v>
      </c>
      <c r="R44" s="134"/>
      <c r="S44" s="134">
        <f t="shared" si="1"/>
        <v>6</v>
      </c>
      <c r="T44" s="14"/>
    </row>
    <row r="45" ht="19.5" customHeight="1">
      <c r="B45" s="57" t="s">
        <v>135</v>
      </c>
      <c r="C45" s="7"/>
      <c r="D45" s="57"/>
      <c r="E45" s="5"/>
      <c r="F45" s="7"/>
      <c r="G45" s="133" t="s">
        <v>129</v>
      </c>
      <c r="H45" s="7"/>
      <c r="I45" s="134"/>
      <c r="J45" s="134"/>
      <c r="K45" s="134"/>
      <c r="L45" s="134"/>
      <c r="M45" s="134">
        <v>3.0</v>
      </c>
      <c r="N45" s="134"/>
      <c r="O45" s="134"/>
      <c r="P45" s="134"/>
      <c r="Q45" s="134"/>
      <c r="R45" s="134">
        <v>3.0</v>
      </c>
      <c r="S45" s="134">
        <f t="shared" si="1"/>
        <v>6</v>
      </c>
      <c r="T45" s="14"/>
    </row>
    <row r="46" ht="19.5" customHeight="1">
      <c r="B46" s="57" t="s">
        <v>136</v>
      </c>
      <c r="C46" s="7"/>
      <c r="D46" s="57"/>
      <c r="E46" s="5"/>
      <c r="F46" s="7"/>
      <c r="G46" s="133" t="s">
        <v>129</v>
      </c>
      <c r="H46" s="7"/>
      <c r="I46" s="134">
        <v>3.0</v>
      </c>
      <c r="J46" s="134">
        <v>1.0</v>
      </c>
      <c r="K46" s="134"/>
      <c r="L46" s="134"/>
      <c r="M46" s="134"/>
      <c r="N46" s="134"/>
      <c r="O46" s="134"/>
      <c r="P46" s="134"/>
      <c r="Q46" s="134"/>
      <c r="R46" s="134">
        <v>3.0</v>
      </c>
      <c r="S46" s="134">
        <f t="shared" si="1"/>
        <v>7</v>
      </c>
      <c r="T46" s="14"/>
    </row>
    <row r="47" ht="19.5" customHeight="1">
      <c r="B47" s="57" t="s">
        <v>137</v>
      </c>
      <c r="C47" s="7"/>
      <c r="D47" s="57"/>
      <c r="E47" s="5"/>
      <c r="F47" s="7"/>
      <c r="G47" s="133" t="s">
        <v>129</v>
      </c>
      <c r="H47" s="7"/>
      <c r="I47" s="134">
        <v>3.0</v>
      </c>
      <c r="J47" s="134"/>
      <c r="K47" s="134"/>
      <c r="L47" s="134"/>
      <c r="M47" s="134"/>
      <c r="N47" s="134"/>
      <c r="O47" s="134"/>
      <c r="P47" s="134"/>
      <c r="Q47" s="134"/>
      <c r="R47" s="134">
        <v>3.0</v>
      </c>
      <c r="S47" s="134">
        <f t="shared" si="1"/>
        <v>6</v>
      </c>
      <c r="T47" s="14"/>
    </row>
    <row r="48" ht="19.5" customHeight="1">
      <c r="B48" s="57" t="s">
        <v>138</v>
      </c>
      <c r="C48" s="7"/>
      <c r="D48" s="146" t="s">
        <v>139</v>
      </c>
      <c r="E48" s="5"/>
      <c r="F48" s="5"/>
      <c r="G48" s="5"/>
      <c r="H48" s="5"/>
      <c r="I48" s="5"/>
      <c r="J48" s="5"/>
      <c r="K48" s="5"/>
      <c r="L48" s="5"/>
      <c r="M48" s="5"/>
      <c r="N48" s="5"/>
      <c r="O48" s="5"/>
      <c r="P48" s="5"/>
      <c r="Q48" s="5"/>
      <c r="R48" s="5"/>
      <c r="S48" s="7"/>
      <c r="T48" s="14"/>
    </row>
    <row r="49" ht="19.5" customHeight="1">
      <c r="B49" s="57" t="s">
        <v>140</v>
      </c>
      <c r="C49" s="7"/>
      <c r="D49" s="57"/>
      <c r="E49" s="5"/>
      <c r="F49" s="7"/>
      <c r="G49" s="133" t="s">
        <v>129</v>
      </c>
      <c r="H49" s="7"/>
      <c r="I49" s="134">
        <v>3.0</v>
      </c>
      <c r="J49" s="134"/>
      <c r="K49" s="134"/>
      <c r="L49" s="134"/>
      <c r="M49" s="134"/>
      <c r="N49" s="134"/>
      <c r="O49" s="134"/>
      <c r="P49" s="134"/>
      <c r="Q49" s="134"/>
      <c r="R49" s="134">
        <v>3.0</v>
      </c>
      <c r="S49" s="134">
        <f t="shared" ref="S49:S55" si="2">SUM(I49:R49)</f>
        <v>6</v>
      </c>
      <c r="T49" s="14"/>
    </row>
    <row r="50" ht="19.5" customHeight="1">
      <c r="B50" s="57" t="s">
        <v>141</v>
      </c>
      <c r="C50" s="7"/>
      <c r="D50" s="57"/>
      <c r="E50" s="5"/>
      <c r="F50" s="7"/>
      <c r="G50" s="133" t="s">
        <v>129</v>
      </c>
      <c r="H50" s="7"/>
      <c r="I50" s="134">
        <v>3.0</v>
      </c>
      <c r="J50" s="134"/>
      <c r="K50" s="134"/>
      <c r="L50" s="134"/>
      <c r="M50" s="134"/>
      <c r="N50" s="134"/>
      <c r="O50" s="134"/>
      <c r="P50" s="134"/>
      <c r="Q50" s="134"/>
      <c r="R50" s="134">
        <v>3.0</v>
      </c>
      <c r="S50" s="134">
        <f t="shared" si="2"/>
        <v>6</v>
      </c>
      <c r="T50" s="14"/>
    </row>
    <row r="51" ht="19.5" customHeight="1">
      <c r="B51" s="57" t="s">
        <v>142</v>
      </c>
      <c r="C51" s="7"/>
      <c r="D51" s="57"/>
      <c r="E51" s="5"/>
      <c r="F51" s="7"/>
      <c r="G51" s="133" t="s">
        <v>129</v>
      </c>
      <c r="H51" s="7"/>
      <c r="I51" s="134">
        <v>3.0</v>
      </c>
      <c r="J51" s="134"/>
      <c r="K51" s="134"/>
      <c r="L51" s="134"/>
      <c r="M51" s="134"/>
      <c r="N51" s="134"/>
      <c r="O51" s="134"/>
      <c r="P51" s="134"/>
      <c r="Q51" s="134">
        <v>3.0</v>
      </c>
      <c r="R51" s="134"/>
      <c r="S51" s="134">
        <f t="shared" si="2"/>
        <v>6</v>
      </c>
      <c r="T51" s="14"/>
    </row>
    <row r="52" ht="19.5" customHeight="1">
      <c r="B52" s="57" t="s">
        <v>143</v>
      </c>
      <c r="C52" s="7"/>
      <c r="D52" s="57"/>
      <c r="E52" s="5"/>
      <c r="F52" s="7"/>
      <c r="G52" s="133" t="s">
        <v>129</v>
      </c>
      <c r="H52" s="7"/>
      <c r="I52" s="134">
        <v>3.0</v>
      </c>
      <c r="J52" s="134"/>
      <c r="K52" s="134"/>
      <c r="L52" s="134"/>
      <c r="M52" s="134"/>
      <c r="N52" s="134"/>
      <c r="O52" s="134"/>
      <c r="P52" s="134"/>
      <c r="Q52" s="134">
        <v>3.0</v>
      </c>
      <c r="R52" s="134"/>
      <c r="S52" s="134">
        <f t="shared" si="2"/>
        <v>6</v>
      </c>
      <c r="T52" s="14"/>
    </row>
    <row r="53" ht="19.5" customHeight="1">
      <c r="B53" s="57" t="s">
        <v>144</v>
      </c>
      <c r="C53" s="7"/>
      <c r="D53" s="57"/>
      <c r="E53" s="5"/>
      <c r="F53" s="7"/>
      <c r="G53" s="133" t="s">
        <v>129</v>
      </c>
      <c r="H53" s="7"/>
      <c r="I53" s="134">
        <v>3.0</v>
      </c>
      <c r="J53" s="134"/>
      <c r="K53" s="134"/>
      <c r="L53" s="134"/>
      <c r="M53" s="134"/>
      <c r="N53" s="134"/>
      <c r="O53" s="134"/>
      <c r="P53" s="134"/>
      <c r="Q53" s="134">
        <v>3.0</v>
      </c>
      <c r="R53" s="134">
        <v>3.0</v>
      </c>
      <c r="S53" s="134">
        <f t="shared" si="2"/>
        <v>9</v>
      </c>
      <c r="T53" s="14"/>
    </row>
    <row r="54" ht="19.5" customHeight="1">
      <c r="B54" s="57" t="s">
        <v>145</v>
      </c>
      <c r="C54" s="7"/>
      <c r="D54" s="57"/>
      <c r="E54" s="5"/>
      <c r="F54" s="7"/>
      <c r="G54" s="133" t="s">
        <v>129</v>
      </c>
      <c r="H54" s="7"/>
      <c r="I54" s="134">
        <v>3.0</v>
      </c>
      <c r="J54" s="134"/>
      <c r="K54" s="134"/>
      <c r="L54" s="134"/>
      <c r="M54" s="134"/>
      <c r="N54" s="134"/>
      <c r="O54" s="134"/>
      <c r="P54" s="134"/>
      <c r="Q54" s="134">
        <v>3.0</v>
      </c>
      <c r="R54" s="134">
        <v>2.0</v>
      </c>
      <c r="S54" s="134">
        <f t="shared" si="2"/>
        <v>8</v>
      </c>
      <c r="T54" s="14"/>
    </row>
    <row r="55" ht="19.5" customHeight="1">
      <c r="B55" s="57" t="s">
        <v>146</v>
      </c>
      <c r="C55" s="7"/>
      <c r="D55" s="57"/>
      <c r="E55" s="5"/>
      <c r="F55" s="7"/>
      <c r="G55" s="133" t="s">
        <v>129</v>
      </c>
      <c r="H55" s="7"/>
      <c r="I55" s="134">
        <v>3.0</v>
      </c>
      <c r="J55" s="134"/>
      <c r="K55" s="134"/>
      <c r="L55" s="134"/>
      <c r="M55" s="134"/>
      <c r="N55" s="134"/>
      <c r="O55" s="134"/>
      <c r="P55" s="151"/>
      <c r="Q55" s="134"/>
      <c r="R55" s="134"/>
      <c r="S55" s="134">
        <f t="shared" si="2"/>
        <v>3</v>
      </c>
      <c r="T55" s="14"/>
    </row>
    <row r="56" ht="14.25" customHeight="1">
      <c r="Q56" s="152" t="s">
        <v>147</v>
      </c>
      <c r="R56" s="7"/>
      <c r="S56" s="153">
        <f>SUM(S41:S55)</f>
        <v>89</v>
      </c>
    </row>
    <row r="57" ht="14.25" customHeight="1">
      <c r="Q57" s="154"/>
      <c r="R57" s="154"/>
      <c r="S57" s="155"/>
    </row>
    <row r="58" ht="64.5" customHeight="1">
      <c r="B58" s="156" t="s">
        <v>148</v>
      </c>
      <c r="C58" s="28"/>
      <c r="D58" s="28"/>
      <c r="E58" s="28"/>
      <c r="F58" s="28"/>
      <c r="G58" s="28"/>
      <c r="H58" s="31"/>
      <c r="I58" s="156" t="s">
        <v>149</v>
      </c>
      <c r="J58" s="31"/>
      <c r="K58" s="157" t="s">
        <v>118</v>
      </c>
      <c r="L58" s="5"/>
      <c r="M58" s="5"/>
      <c r="N58" s="5"/>
      <c r="O58" s="5"/>
      <c r="P58" s="7"/>
      <c r="Q58" s="158" t="s">
        <v>150</v>
      </c>
      <c r="R58" s="159"/>
      <c r="S58" s="160" t="s">
        <v>151</v>
      </c>
      <c r="T58" s="161" t="s">
        <v>152</v>
      </c>
      <c r="U58" s="162"/>
    </row>
    <row r="59" ht="36.0" customHeight="1">
      <c r="B59" s="14"/>
      <c r="H59" s="35"/>
      <c r="I59" s="14"/>
      <c r="J59" s="35"/>
      <c r="K59" s="163" t="s">
        <v>120</v>
      </c>
      <c r="L59" s="28"/>
      <c r="M59" s="113"/>
      <c r="N59" s="164" t="s">
        <v>153</v>
      </c>
      <c r="O59" s="28"/>
      <c r="P59" s="31"/>
      <c r="Q59" s="165" t="s">
        <v>122</v>
      </c>
      <c r="R59" s="166" t="s">
        <v>123</v>
      </c>
      <c r="S59" s="120"/>
    </row>
    <row r="60" ht="35.25" customHeight="1">
      <c r="B60" s="43"/>
      <c r="C60" s="44"/>
      <c r="D60" s="44"/>
      <c r="E60" s="44"/>
      <c r="F60" s="44"/>
      <c r="G60" s="44"/>
      <c r="H60" s="45"/>
      <c r="I60" s="43"/>
      <c r="J60" s="45"/>
      <c r="K60" s="43"/>
      <c r="L60" s="44"/>
      <c r="M60" s="128"/>
      <c r="N60" s="43"/>
      <c r="O60" s="44"/>
      <c r="P60" s="45"/>
      <c r="Q60" s="167"/>
      <c r="R60" s="132"/>
      <c r="S60" s="132"/>
    </row>
    <row r="61" ht="18.75" customHeight="1">
      <c r="B61" s="168">
        <v>1.0</v>
      </c>
      <c r="C61" s="169" t="s">
        <v>154</v>
      </c>
      <c r="D61" s="5"/>
      <c r="E61" s="5"/>
      <c r="F61" s="5"/>
      <c r="G61" s="5"/>
      <c r="H61" s="7"/>
      <c r="I61" s="170"/>
      <c r="J61" s="7"/>
      <c r="K61" s="108"/>
      <c r="L61" s="5"/>
      <c r="M61" s="7"/>
      <c r="N61" s="108">
        <v>1.0</v>
      </c>
      <c r="O61" s="5"/>
      <c r="P61" s="7"/>
      <c r="Q61" s="171">
        <v>0.0</v>
      </c>
      <c r="R61" s="172">
        <v>3.0</v>
      </c>
      <c r="S61" s="173">
        <f t="shared" ref="S61:S65" si="3">SUM(K61:R61)</f>
        <v>4</v>
      </c>
    </row>
    <row r="62" ht="18.75" customHeight="1">
      <c r="B62" s="168">
        <v>2.0</v>
      </c>
      <c r="C62" s="169" t="s">
        <v>155</v>
      </c>
      <c r="D62" s="5"/>
      <c r="E62" s="5"/>
      <c r="F62" s="5"/>
      <c r="G62" s="5"/>
      <c r="H62" s="7"/>
      <c r="I62" s="170"/>
      <c r="J62" s="7"/>
      <c r="K62" s="108"/>
      <c r="L62" s="5"/>
      <c r="M62" s="7"/>
      <c r="N62" s="108"/>
      <c r="O62" s="5"/>
      <c r="P62" s="7"/>
      <c r="Q62" s="171">
        <v>5.0</v>
      </c>
      <c r="R62" s="171"/>
      <c r="S62" s="173">
        <f t="shared" si="3"/>
        <v>5</v>
      </c>
    </row>
    <row r="63" ht="18.75" customHeight="1">
      <c r="B63" s="168">
        <v>3.0</v>
      </c>
      <c r="C63" s="169" t="s">
        <v>156</v>
      </c>
      <c r="D63" s="5"/>
      <c r="E63" s="5"/>
      <c r="F63" s="5"/>
      <c r="G63" s="5"/>
      <c r="H63" s="7"/>
      <c r="I63" s="170"/>
      <c r="J63" s="7"/>
      <c r="K63" s="108"/>
      <c r="L63" s="5"/>
      <c r="M63" s="7"/>
      <c r="N63" s="108"/>
      <c r="O63" s="5"/>
      <c r="P63" s="7"/>
      <c r="Q63" s="171">
        <v>10.0</v>
      </c>
      <c r="R63" s="171"/>
      <c r="S63" s="173">
        <f t="shared" si="3"/>
        <v>10</v>
      </c>
    </row>
    <row r="64" ht="18.75" customHeight="1">
      <c r="B64" s="168">
        <v>4.0</v>
      </c>
      <c r="C64" s="169"/>
      <c r="D64" s="5"/>
      <c r="E64" s="5"/>
      <c r="F64" s="5"/>
      <c r="G64" s="5"/>
      <c r="H64" s="7"/>
      <c r="I64" s="170"/>
      <c r="J64" s="7"/>
      <c r="K64" s="108"/>
      <c r="L64" s="5"/>
      <c r="M64" s="7"/>
      <c r="N64" s="108"/>
      <c r="O64" s="5"/>
      <c r="P64" s="7"/>
      <c r="Q64" s="171"/>
      <c r="R64" s="171"/>
      <c r="S64" s="173">
        <f t="shared" si="3"/>
        <v>0</v>
      </c>
    </row>
    <row r="65" ht="18.75" customHeight="1">
      <c r="B65" s="168">
        <v>5.0</v>
      </c>
      <c r="C65" s="169"/>
      <c r="D65" s="5"/>
      <c r="E65" s="5"/>
      <c r="F65" s="5"/>
      <c r="G65" s="5"/>
      <c r="H65" s="7"/>
      <c r="I65" s="170"/>
      <c r="J65" s="7"/>
      <c r="K65" s="108"/>
      <c r="L65" s="5"/>
      <c r="M65" s="7"/>
      <c r="N65" s="108"/>
      <c r="O65" s="5"/>
      <c r="P65" s="7"/>
      <c r="Q65" s="171"/>
      <c r="R65" s="171"/>
      <c r="S65" s="173">
        <f t="shared" si="3"/>
        <v>0</v>
      </c>
    </row>
    <row r="66" ht="18.75" customHeight="1">
      <c r="B66" s="174" t="s">
        <v>157</v>
      </c>
      <c r="C66" s="28"/>
      <c r="D66" s="28"/>
      <c r="E66" s="28"/>
      <c r="F66" s="28"/>
      <c r="G66" s="28"/>
      <c r="H66" s="28"/>
      <c r="I66" s="28"/>
      <c r="J66" s="28"/>
      <c r="K66" s="28"/>
      <c r="L66" s="28"/>
      <c r="M66" s="28"/>
      <c r="N66" s="28"/>
      <c r="O66" s="28"/>
      <c r="P66" s="28"/>
      <c r="Q66" s="175" t="s">
        <v>147</v>
      </c>
      <c r="R66" s="7"/>
      <c r="S66" s="153">
        <f>SUM(S61:S65)</f>
        <v>19</v>
      </c>
    </row>
    <row r="67" ht="18.75" customHeight="1">
      <c r="Q67" s="176"/>
      <c r="R67" s="176"/>
    </row>
    <row r="68" ht="18.75" customHeight="1">
      <c r="Q68" s="176"/>
      <c r="R68" s="176"/>
    </row>
    <row r="69" ht="33.75" customHeight="1">
      <c r="B69" s="156" t="s">
        <v>158</v>
      </c>
      <c r="C69" s="28"/>
      <c r="D69" s="28"/>
      <c r="E69" s="28"/>
      <c r="F69" s="28"/>
      <c r="G69" s="28"/>
      <c r="H69" s="31"/>
      <c r="I69" s="156" t="s">
        <v>149</v>
      </c>
      <c r="J69" s="31"/>
      <c r="K69" s="157" t="s">
        <v>118</v>
      </c>
      <c r="L69" s="5"/>
      <c r="M69" s="5"/>
      <c r="N69" s="5"/>
      <c r="O69" s="5"/>
      <c r="P69" s="7"/>
      <c r="Q69" s="177" t="s">
        <v>159</v>
      </c>
      <c r="R69" s="159"/>
      <c r="S69" s="179" t="s">
        <v>151</v>
      </c>
    </row>
    <row r="70" ht="18.75" customHeight="1">
      <c r="B70" s="14"/>
      <c r="H70" s="35"/>
      <c r="I70" s="14"/>
      <c r="J70" s="35"/>
      <c r="K70" s="163" t="s">
        <v>120</v>
      </c>
      <c r="L70" s="28"/>
      <c r="M70" s="31"/>
      <c r="N70" s="164" t="s">
        <v>153</v>
      </c>
      <c r="O70" s="28"/>
      <c r="P70" s="31"/>
      <c r="Q70" s="165" t="s">
        <v>122</v>
      </c>
      <c r="R70" s="180" t="s">
        <v>123</v>
      </c>
      <c r="S70" s="181"/>
    </row>
    <row r="71" ht="48.0" customHeight="1">
      <c r="B71" s="43"/>
      <c r="C71" s="44"/>
      <c r="D71" s="44"/>
      <c r="E71" s="44"/>
      <c r="F71" s="44"/>
      <c r="G71" s="44"/>
      <c r="H71" s="45"/>
      <c r="I71" s="43"/>
      <c r="J71" s="45"/>
      <c r="K71" s="43"/>
      <c r="L71" s="44"/>
      <c r="M71" s="45"/>
      <c r="N71" s="43"/>
      <c r="O71" s="44"/>
      <c r="P71" s="45"/>
      <c r="Q71" s="167"/>
      <c r="R71" s="132"/>
      <c r="S71" s="183"/>
    </row>
    <row r="72" ht="18.75" customHeight="1">
      <c r="B72" s="168">
        <v>1.0</v>
      </c>
      <c r="C72" s="106" t="s">
        <v>160</v>
      </c>
      <c r="D72" s="5"/>
      <c r="E72" s="5"/>
      <c r="F72" s="5"/>
      <c r="G72" s="5"/>
      <c r="H72" s="7"/>
      <c r="I72" s="170"/>
      <c r="J72" s="7"/>
      <c r="K72" s="108">
        <v>3.0</v>
      </c>
      <c r="L72" s="5"/>
      <c r="M72" s="7"/>
      <c r="N72" s="108"/>
      <c r="O72" s="5"/>
      <c r="P72" s="7"/>
      <c r="Q72" s="171">
        <v>6.0</v>
      </c>
      <c r="R72" s="172"/>
      <c r="S72" s="173">
        <f t="shared" ref="S72:S76" si="4">SUM(K72:R72)</f>
        <v>9</v>
      </c>
    </row>
    <row r="73" ht="18.75" customHeight="1">
      <c r="B73" s="168">
        <v>2.0</v>
      </c>
      <c r="C73" s="106"/>
      <c r="D73" s="5"/>
      <c r="E73" s="5"/>
      <c r="F73" s="5"/>
      <c r="G73" s="5"/>
      <c r="H73" s="7"/>
      <c r="I73" s="170"/>
      <c r="J73" s="7"/>
      <c r="K73" s="108"/>
      <c r="L73" s="5"/>
      <c r="M73" s="7"/>
      <c r="N73" s="108"/>
      <c r="O73" s="5"/>
      <c r="P73" s="7"/>
      <c r="Q73" s="171"/>
      <c r="R73" s="171"/>
      <c r="S73" s="173">
        <f t="shared" si="4"/>
        <v>0</v>
      </c>
    </row>
    <row r="74" ht="18.75" customHeight="1">
      <c r="B74" s="168">
        <v>3.0</v>
      </c>
      <c r="C74" s="106"/>
      <c r="D74" s="5"/>
      <c r="E74" s="5"/>
      <c r="F74" s="5"/>
      <c r="G74" s="5"/>
      <c r="H74" s="7"/>
      <c r="I74" s="170"/>
      <c r="J74" s="7"/>
      <c r="K74" s="108"/>
      <c r="L74" s="5"/>
      <c r="M74" s="7"/>
      <c r="N74" s="108"/>
      <c r="O74" s="5"/>
      <c r="P74" s="7"/>
      <c r="Q74" s="171"/>
      <c r="R74" s="171"/>
      <c r="S74" s="173">
        <f t="shared" si="4"/>
        <v>0</v>
      </c>
    </row>
    <row r="75" ht="18.75" customHeight="1">
      <c r="B75" s="168">
        <v>4.0</v>
      </c>
      <c r="C75" s="106"/>
      <c r="D75" s="5"/>
      <c r="E75" s="5"/>
      <c r="F75" s="5"/>
      <c r="G75" s="5"/>
      <c r="H75" s="7"/>
      <c r="I75" s="170"/>
      <c r="J75" s="7"/>
      <c r="K75" s="108"/>
      <c r="L75" s="5"/>
      <c r="M75" s="7"/>
      <c r="N75" s="108"/>
      <c r="O75" s="5"/>
      <c r="P75" s="7"/>
      <c r="Q75" s="171"/>
      <c r="R75" s="171"/>
      <c r="S75" s="173">
        <f t="shared" si="4"/>
        <v>0</v>
      </c>
    </row>
    <row r="76" ht="18.75" customHeight="1">
      <c r="B76" s="168">
        <v>5.0</v>
      </c>
      <c r="C76" s="106"/>
      <c r="D76" s="5"/>
      <c r="E76" s="5"/>
      <c r="F76" s="5"/>
      <c r="G76" s="5"/>
      <c r="H76" s="7"/>
      <c r="I76" s="170"/>
      <c r="J76" s="7"/>
      <c r="K76" s="108"/>
      <c r="L76" s="5"/>
      <c r="M76" s="7"/>
      <c r="N76" s="108"/>
      <c r="O76" s="5"/>
      <c r="P76" s="7"/>
      <c r="Q76" s="171"/>
      <c r="R76" s="171"/>
      <c r="S76" s="173">
        <f t="shared" si="4"/>
        <v>0</v>
      </c>
    </row>
    <row r="77" ht="18.75" customHeight="1">
      <c r="B77" s="174" t="s">
        <v>161</v>
      </c>
      <c r="C77" s="28"/>
      <c r="D77" s="28"/>
      <c r="E77" s="28"/>
      <c r="F77" s="28"/>
      <c r="G77" s="28"/>
      <c r="H77" s="28"/>
      <c r="I77" s="28"/>
      <c r="J77" s="28"/>
      <c r="K77" s="28"/>
      <c r="L77" s="28"/>
      <c r="M77" s="28"/>
      <c r="N77" s="28"/>
      <c r="O77" s="28"/>
      <c r="P77" s="31"/>
      <c r="Q77" s="175" t="s">
        <v>147</v>
      </c>
      <c r="R77" s="7"/>
      <c r="S77" s="153">
        <f>SUM(S72:S76)</f>
        <v>9</v>
      </c>
    </row>
    <row r="78" ht="18.75" customHeight="1">
      <c r="P78" s="35"/>
      <c r="Q78" s="152" t="s">
        <v>162</v>
      </c>
      <c r="R78" s="7"/>
      <c r="S78" s="153">
        <f>SUM(S72:S76)+SUM(S61:S65)</f>
        <v>28</v>
      </c>
    </row>
    <row r="79" ht="18.75" customHeight="1">
      <c r="Q79" s="191" t="s">
        <v>163</v>
      </c>
      <c r="R79" s="191"/>
      <c r="S79" s="153">
        <f>S77+S66+S56</f>
        <v>117</v>
      </c>
    </row>
    <row r="80" ht="21.0" customHeight="1">
      <c r="B80" s="192" t="s">
        <v>164</v>
      </c>
      <c r="C80" s="193" t="s">
        <v>165</v>
      </c>
      <c r="D80" s="5"/>
      <c r="E80" s="5"/>
      <c r="F80" s="5"/>
      <c r="G80" s="5"/>
      <c r="H80" s="5"/>
      <c r="I80" s="5"/>
      <c r="J80" s="5"/>
      <c r="K80" s="5"/>
      <c r="L80" s="5"/>
      <c r="M80" s="5"/>
      <c r="N80" s="5"/>
      <c r="O80" s="5"/>
      <c r="P80" s="7"/>
      <c r="Q80" s="194">
        <f>(SUM(I41:L55)+SUM(K61:M65)+SUM(K72:M76))/(SUM(I41:R55)+SUM(K61:R65)+SUM(K72:R76))*100</f>
        <v>31.62393162</v>
      </c>
      <c r="R80" s="5"/>
      <c r="S80" s="7"/>
    </row>
    <row r="81" ht="18.75" customHeight="1">
      <c r="B81" s="192" t="s">
        <v>166</v>
      </c>
      <c r="C81" s="193" t="s">
        <v>167</v>
      </c>
      <c r="D81" s="5"/>
      <c r="E81" s="5"/>
      <c r="F81" s="5"/>
      <c r="G81" s="5"/>
      <c r="H81" s="5"/>
      <c r="I81" s="5"/>
      <c r="J81" s="5"/>
      <c r="K81" s="5"/>
      <c r="L81" s="5"/>
      <c r="M81" s="5"/>
      <c r="N81" s="5"/>
      <c r="O81" s="5"/>
      <c r="P81" s="7"/>
      <c r="Q81" s="194">
        <f>(SUM(M41:P55)+SUM(N61:P65)+SUM(N72:P76)+SUM(Q41:R55)+SUM(Q61:R65)+SUM(Q72:R76))/(SUM(I41:R55)+SUM(K61:R65)+SUM(K72:R76))*100</f>
        <v>68.37606838</v>
      </c>
      <c r="R81" s="5"/>
      <c r="S81" s="7"/>
    </row>
    <row r="82" ht="21.0" customHeight="1">
      <c r="B82" s="192" t="s">
        <v>169</v>
      </c>
      <c r="C82" s="193" t="s">
        <v>170</v>
      </c>
      <c r="D82" s="5"/>
      <c r="E82" s="5"/>
      <c r="F82" s="5"/>
      <c r="G82" s="5"/>
      <c r="H82" s="5"/>
      <c r="I82" s="5"/>
      <c r="J82" s="5"/>
      <c r="K82" s="5"/>
      <c r="L82" s="5"/>
      <c r="M82" s="5"/>
      <c r="N82" s="5"/>
      <c r="O82" s="5"/>
      <c r="P82" s="7"/>
      <c r="Q82" s="194">
        <f>(SUM(M41:Q55)+SUM(N61:Q65)+SUM(N72:Q76))/S79*100</f>
        <v>46.15384615</v>
      </c>
      <c r="R82" s="5"/>
      <c r="S82" s="7"/>
      <c r="T82" s="199" t="s">
        <v>171</v>
      </c>
    </row>
    <row r="83" ht="18.0" customHeight="1">
      <c r="B83" s="192" t="s">
        <v>172</v>
      </c>
      <c r="C83" s="193" t="s">
        <v>173</v>
      </c>
      <c r="D83" s="5"/>
      <c r="E83" s="5"/>
      <c r="F83" s="5"/>
      <c r="G83" s="5"/>
      <c r="H83" s="5"/>
      <c r="I83" s="5"/>
      <c r="J83" s="5"/>
      <c r="K83" s="5"/>
      <c r="L83" s="5"/>
      <c r="M83" s="5"/>
      <c r="N83" s="5"/>
      <c r="O83" s="5"/>
      <c r="P83" s="7"/>
      <c r="Q83" s="201">
        <f>Q84+Q85</f>
        <v>1.709401709</v>
      </c>
      <c r="R83" s="5"/>
      <c r="S83" s="7"/>
    </row>
    <row r="84" ht="18.0" customHeight="1">
      <c r="B84" s="192" t="s">
        <v>174</v>
      </c>
      <c r="C84" s="193" t="s">
        <v>175</v>
      </c>
      <c r="D84" s="5"/>
      <c r="E84" s="5"/>
      <c r="F84" s="5"/>
      <c r="G84" s="5"/>
      <c r="H84" s="5"/>
      <c r="I84" s="5"/>
      <c r="J84" s="5"/>
      <c r="K84" s="5"/>
      <c r="L84" s="5"/>
      <c r="M84" s="5"/>
      <c r="N84" s="5"/>
      <c r="O84" s="5"/>
      <c r="P84" s="7"/>
      <c r="Q84" s="201">
        <f>(SUM(K41:K55))/(SUM(I41:R55)+SUM(K61:R65)+SUM(K72:R76))*100</f>
        <v>1.709401709</v>
      </c>
      <c r="R84" s="5"/>
      <c r="S84" s="7"/>
    </row>
    <row r="85" ht="16.5" customHeight="1">
      <c r="B85" s="192" t="s">
        <v>176</v>
      </c>
      <c r="C85" s="193" t="s">
        <v>178</v>
      </c>
      <c r="D85" s="5"/>
      <c r="E85" s="5"/>
      <c r="F85" s="5"/>
      <c r="G85" s="5"/>
      <c r="H85" s="5"/>
      <c r="I85" s="5"/>
      <c r="J85" s="5"/>
      <c r="K85" s="5"/>
      <c r="L85" s="5"/>
      <c r="M85" s="5"/>
      <c r="N85" s="5"/>
      <c r="O85" s="5"/>
      <c r="P85" s="7"/>
      <c r="Q85" s="201">
        <f>(SUM(O41:O55))/(SUM(I41:R55)+SUM(K61:R65)+SUM(K72:R76))*100</f>
        <v>0</v>
      </c>
      <c r="R85" s="5"/>
      <c r="S85" s="7"/>
    </row>
    <row r="86" ht="42.0" customHeight="1">
      <c r="B86" s="99" t="s">
        <v>179</v>
      </c>
      <c r="C86" s="5"/>
      <c r="D86" s="5"/>
      <c r="E86" s="5"/>
      <c r="F86" s="5"/>
      <c r="G86" s="5"/>
      <c r="H86" s="5"/>
      <c r="I86" s="5"/>
      <c r="J86" s="5"/>
      <c r="K86" s="5"/>
      <c r="L86" s="5"/>
      <c r="M86" s="5"/>
      <c r="N86" s="5"/>
      <c r="O86" s="5"/>
      <c r="P86" s="7"/>
      <c r="Q86" s="204"/>
      <c r="R86" s="5"/>
      <c r="S86" s="7"/>
    </row>
    <row r="87" ht="14.25" customHeight="1">
      <c r="B87" s="78"/>
      <c r="D87" s="78"/>
      <c r="E87" s="78"/>
      <c r="F87" s="78"/>
      <c r="G87" s="78"/>
      <c r="H87" s="78"/>
      <c r="I87" s="78"/>
      <c r="J87" s="78"/>
      <c r="K87" s="78"/>
      <c r="L87" s="78"/>
      <c r="M87" s="78"/>
      <c r="N87" s="78"/>
      <c r="O87" s="78"/>
      <c r="P87" s="78"/>
      <c r="Q87" s="78"/>
      <c r="R87" s="78"/>
      <c r="S87" s="78"/>
    </row>
    <row r="88" ht="30.75" customHeight="1">
      <c r="B88" s="205" t="s">
        <v>180</v>
      </c>
      <c r="C88" s="5"/>
      <c r="D88" s="5"/>
      <c r="E88" s="5"/>
      <c r="F88" s="5"/>
      <c r="G88" s="5"/>
      <c r="H88" s="5"/>
      <c r="I88" s="5"/>
      <c r="J88" s="5"/>
      <c r="K88" s="5"/>
      <c r="L88" s="5"/>
      <c r="M88" s="5"/>
      <c r="N88" s="5"/>
      <c r="O88" s="5"/>
      <c r="P88" s="5"/>
      <c r="Q88" s="5"/>
      <c r="R88" s="5"/>
      <c r="S88" s="7"/>
    </row>
    <row r="89" ht="20.25" customHeight="1">
      <c r="B89" s="206"/>
      <c r="C89" s="5"/>
      <c r="D89" s="5"/>
      <c r="E89" s="5"/>
      <c r="F89" s="5"/>
      <c r="G89" s="5"/>
      <c r="H89" s="5"/>
      <c r="I89" s="5"/>
      <c r="J89" s="5"/>
      <c r="K89" s="5"/>
      <c r="L89" s="5"/>
      <c r="M89" s="5"/>
      <c r="N89" s="5"/>
      <c r="O89" s="5"/>
      <c r="P89" s="5"/>
      <c r="Q89" s="5"/>
      <c r="R89" s="5"/>
      <c r="S89" s="7"/>
    </row>
    <row r="90" ht="18.0" customHeight="1">
      <c r="B90" s="207"/>
    </row>
    <row r="91" ht="19.5" customHeight="1">
      <c r="B91" s="205" t="s">
        <v>181</v>
      </c>
      <c r="C91" s="5"/>
      <c r="D91" s="5"/>
      <c r="E91" s="5"/>
      <c r="F91" s="5"/>
      <c r="G91" s="5"/>
      <c r="H91" s="5"/>
      <c r="I91" s="5"/>
      <c r="J91" s="5"/>
      <c r="K91" s="5"/>
      <c r="L91" s="5"/>
      <c r="M91" s="5"/>
      <c r="N91" s="5"/>
      <c r="O91" s="5"/>
      <c r="P91" s="5"/>
      <c r="Q91" s="5"/>
      <c r="R91" s="5"/>
      <c r="S91" s="7"/>
    </row>
    <row r="92" ht="57.75" customHeight="1">
      <c r="B92" s="204"/>
      <c r="C92" s="5"/>
      <c r="D92" s="5"/>
      <c r="E92" s="5"/>
      <c r="F92" s="5"/>
      <c r="G92" s="5"/>
      <c r="H92" s="5"/>
      <c r="I92" s="5"/>
      <c r="J92" s="5"/>
      <c r="K92" s="5"/>
      <c r="L92" s="5"/>
      <c r="M92" s="5"/>
      <c r="N92" s="5"/>
      <c r="O92" s="5"/>
      <c r="P92" s="5"/>
      <c r="Q92" s="5"/>
      <c r="R92" s="5"/>
      <c r="S92" s="7"/>
      <c r="T92" s="208" t="s">
        <v>182</v>
      </c>
    </row>
    <row r="93" ht="17.25" customHeight="1">
      <c r="B93" s="209"/>
      <c r="C93" s="209"/>
      <c r="D93" s="209"/>
      <c r="E93" s="209"/>
      <c r="F93" s="209"/>
      <c r="G93" s="209"/>
      <c r="H93" s="209"/>
      <c r="I93" s="209"/>
      <c r="J93" s="209"/>
      <c r="K93" s="209"/>
      <c r="L93" s="209"/>
      <c r="M93" s="209"/>
      <c r="N93" s="209"/>
      <c r="O93" s="209"/>
      <c r="P93" s="210"/>
      <c r="Q93" s="210"/>
      <c r="R93" s="210"/>
      <c r="S93" s="210"/>
    </row>
    <row r="94" ht="21.0" customHeight="1">
      <c r="B94" s="211" t="s">
        <v>183</v>
      </c>
      <c r="C94" s="5"/>
      <c r="D94" s="5"/>
      <c r="E94" s="5"/>
      <c r="F94" s="5"/>
      <c r="G94" s="5"/>
      <c r="H94" s="5"/>
      <c r="I94" s="5"/>
      <c r="J94" s="5"/>
      <c r="K94" s="5"/>
      <c r="L94" s="5"/>
      <c r="M94" s="5"/>
      <c r="N94" s="5"/>
      <c r="O94" s="5"/>
      <c r="P94" s="5"/>
      <c r="Q94" s="5"/>
      <c r="R94" s="5"/>
      <c r="S94" s="7"/>
    </row>
    <row r="95" ht="21.75" customHeight="1">
      <c r="B95" s="213" t="s">
        <v>185</v>
      </c>
      <c r="C95" s="5"/>
      <c r="D95" s="5"/>
      <c r="E95" s="5"/>
      <c r="F95" s="5"/>
      <c r="G95" s="5"/>
      <c r="H95" s="5"/>
      <c r="I95" s="5"/>
      <c r="J95" s="5"/>
      <c r="K95" s="5"/>
      <c r="L95" s="5"/>
      <c r="M95" s="5"/>
      <c r="N95" s="5"/>
      <c r="O95" s="5"/>
      <c r="P95" s="5"/>
      <c r="Q95" s="5"/>
      <c r="R95" s="5"/>
      <c r="S95" s="7"/>
    </row>
    <row r="96" ht="142.5" customHeight="1">
      <c r="B96" s="99" t="s">
        <v>186</v>
      </c>
      <c r="C96" s="5"/>
      <c r="D96" s="5"/>
      <c r="E96" s="5"/>
      <c r="F96" s="5"/>
      <c r="G96" s="5"/>
      <c r="H96" s="5"/>
      <c r="I96" s="5"/>
      <c r="J96" s="5"/>
      <c r="K96" s="5"/>
      <c r="L96" s="5"/>
      <c r="M96" s="5"/>
      <c r="N96" s="5"/>
      <c r="O96" s="5"/>
      <c r="P96" s="5"/>
      <c r="Q96" s="5"/>
      <c r="R96" s="5"/>
      <c r="S96" s="7"/>
    </row>
    <row r="97" ht="30.0" customHeight="1">
      <c r="B97" s="215" t="s">
        <v>183</v>
      </c>
      <c r="C97" s="28"/>
      <c r="D97" s="28"/>
      <c r="E97" s="28"/>
      <c r="F97" s="28"/>
      <c r="G97" s="28"/>
      <c r="H97" s="28"/>
      <c r="I97" s="28"/>
      <c r="J97" s="28"/>
      <c r="K97" s="28"/>
      <c r="L97" s="28"/>
      <c r="M97" s="28"/>
      <c r="N97" s="28"/>
      <c r="O97" s="28"/>
      <c r="P97" s="28"/>
      <c r="Q97" s="28"/>
      <c r="R97" s="28"/>
      <c r="S97" s="28"/>
    </row>
    <row r="98" ht="24.0" customHeight="1">
      <c r="B98" s="216"/>
      <c r="C98" s="28"/>
      <c r="D98" s="28"/>
      <c r="E98" s="28"/>
      <c r="F98" s="28"/>
      <c r="G98" s="28"/>
      <c r="H98" s="28"/>
      <c r="I98" s="28"/>
      <c r="J98" s="28"/>
      <c r="K98" s="28"/>
      <c r="L98" s="28"/>
      <c r="M98" s="28"/>
      <c r="N98" s="28"/>
      <c r="O98" s="28"/>
      <c r="P98" s="28"/>
      <c r="Q98" s="28"/>
      <c r="R98" s="28"/>
      <c r="S98" s="31"/>
    </row>
    <row r="99" ht="36.75" customHeight="1">
      <c r="B99" s="43"/>
      <c r="C99" s="44"/>
      <c r="D99" s="44"/>
      <c r="E99" s="44"/>
      <c r="F99" s="44"/>
      <c r="G99" s="44"/>
      <c r="H99" s="44"/>
      <c r="I99" s="44"/>
      <c r="J99" s="44"/>
      <c r="K99" s="44"/>
      <c r="L99" s="44"/>
      <c r="M99" s="44"/>
      <c r="N99" s="44"/>
      <c r="O99" s="44"/>
      <c r="P99" s="44"/>
      <c r="Q99" s="44"/>
      <c r="R99" s="44"/>
      <c r="S99" s="45"/>
    </row>
    <row r="100" ht="32.25" customHeight="1">
      <c r="B100" s="217" t="s">
        <v>188</v>
      </c>
      <c r="C100" s="5"/>
      <c r="D100" s="5"/>
      <c r="E100" s="5"/>
      <c r="F100" s="5"/>
      <c r="G100" s="5"/>
      <c r="H100" s="5"/>
      <c r="I100" s="5"/>
      <c r="J100" s="5"/>
      <c r="K100" s="5"/>
      <c r="L100" s="5"/>
      <c r="M100" s="5"/>
      <c r="N100" s="5"/>
      <c r="O100" s="5"/>
      <c r="P100" s="5"/>
      <c r="Q100" s="5"/>
      <c r="R100" s="5"/>
      <c r="S100" s="5"/>
    </row>
    <row r="101" ht="85.5" customHeight="1">
      <c r="B101" s="99" t="s">
        <v>189</v>
      </c>
      <c r="C101" s="5"/>
      <c r="D101" s="5"/>
      <c r="E101" s="5"/>
      <c r="F101" s="5"/>
      <c r="G101" s="5"/>
      <c r="H101" s="5"/>
      <c r="I101" s="5"/>
      <c r="J101" s="5"/>
      <c r="K101" s="5"/>
      <c r="L101" s="5"/>
      <c r="M101" s="5"/>
      <c r="N101" s="5"/>
      <c r="O101" s="5"/>
      <c r="P101" s="5"/>
      <c r="Q101" s="5"/>
      <c r="R101" s="5"/>
      <c r="S101" s="7"/>
    </row>
    <row r="102" ht="18.0" customHeight="1"/>
    <row r="103" ht="19.5" customHeight="1">
      <c r="B103" s="219" t="s">
        <v>190</v>
      </c>
      <c r="C103" s="219"/>
      <c r="D103" s="219"/>
      <c r="E103" s="219"/>
      <c r="F103" s="219"/>
      <c r="G103" s="219"/>
      <c r="H103" s="219"/>
      <c r="I103" s="219"/>
      <c r="J103" s="219"/>
      <c r="K103" s="219"/>
      <c r="L103" s="219"/>
      <c r="M103" s="219"/>
      <c r="N103" s="219"/>
      <c r="O103" s="219"/>
      <c r="P103" s="219"/>
    </row>
    <row r="104" ht="14.25" customHeight="1">
      <c r="B104" s="220" t="s">
        <v>192</v>
      </c>
    </row>
    <row r="105" ht="51.75" customHeight="1">
      <c r="B105" s="221" t="s">
        <v>193</v>
      </c>
    </row>
    <row r="106" ht="24.0" customHeight="1"/>
    <row r="107" ht="14.25" customHeight="1">
      <c r="B107" s="222" t="s">
        <v>194</v>
      </c>
      <c r="C107" s="28"/>
      <c r="D107" s="28"/>
      <c r="E107" s="28"/>
      <c r="F107" s="28"/>
      <c r="G107" s="28"/>
      <c r="H107" s="28"/>
      <c r="I107" s="28"/>
      <c r="J107" s="28"/>
      <c r="K107" s="28"/>
      <c r="L107" s="28"/>
      <c r="M107" s="28"/>
      <c r="N107" s="31"/>
      <c r="O107" s="223" t="s">
        <v>195</v>
      </c>
      <c r="P107" s="28"/>
      <c r="Q107" s="28"/>
      <c r="R107" s="28"/>
      <c r="S107" s="31"/>
      <c r="T107" s="64" t="s">
        <v>196</v>
      </c>
    </row>
    <row r="108" ht="14.25" customHeight="1">
      <c r="B108" s="224" t="s">
        <v>197</v>
      </c>
      <c r="C108" s="225"/>
      <c r="D108" s="226"/>
      <c r="N108" s="35"/>
      <c r="O108" s="224" t="s">
        <v>197</v>
      </c>
      <c r="Q108" s="226"/>
      <c r="S108" s="35"/>
      <c r="T108" s="14"/>
    </row>
    <row r="109" ht="14.25" customHeight="1">
      <c r="B109" s="224" t="s">
        <v>199</v>
      </c>
      <c r="C109" s="225"/>
      <c r="D109" s="226"/>
      <c r="N109" s="35"/>
      <c r="O109" s="224" t="s">
        <v>199</v>
      </c>
      <c r="Q109" s="226"/>
      <c r="S109" s="35"/>
      <c r="T109" s="14"/>
    </row>
    <row r="110" ht="14.25" customHeight="1">
      <c r="B110" s="227" t="s">
        <v>200</v>
      </c>
      <c r="C110" s="44"/>
      <c r="D110" s="228">
        <v>46264.0</v>
      </c>
      <c r="E110" s="44"/>
      <c r="F110" s="44"/>
      <c r="G110" s="44"/>
      <c r="H110" s="44"/>
      <c r="I110" s="44"/>
      <c r="J110" s="44"/>
      <c r="K110" s="44"/>
      <c r="L110" s="44"/>
      <c r="M110" s="44"/>
      <c r="N110" s="45"/>
      <c r="O110" s="227" t="s">
        <v>200</v>
      </c>
      <c r="P110" s="44"/>
      <c r="Q110" s="228">
        <v>46264.0</v>
      </c>
      <c r="R110" s="44"/>
      <c r="S110" s="45"/>
      <c r="T110" s="14"/>
    </row>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25">
    <mergeCell ref="B52:C52"/>
    <mergeCell ref="D52:F52"/>
    <mergeCell ref="G52:H52"/>
    <mergeCell ref="B49:C49"/>
    <mergeCell ref="B50:C50"/>
    <mergeCell ref="D50:F50"/>
    <mergeCell ref="G50:H50"/>
    <mergeCell ref="B51:C51"/>
    <mergeCell ref="D51:F51"/>
    <mergeCell ref="G51:H51"/>
    <mergeCell ref="I38:P38"/>
    <mergeCell ref="Q38:R38"/>
    <mergeCell ref="I39:L39"/>
    <mergeCell ref="M39:P39"/>
    <mergeCell ref="B34:S34"/>
    <mergeCell ref="B36:S36"/>
    <mergeCell ref="B37:C40"/>
    <mergeCell ref="D37:F40"/>
    <mergeCell ref="G37:H40"/>
    <mergeCell ref="I37:R37"/>
    <mergeCell ref="S37:S40"/>
    <mergeCell ref="D43:F43"/>
    <mergeCell ref="G43:H43"/>
    <mergeCell ref="B47:C47"/>
    <mergeCell ref="D47:F47"/>
    <mergeCell ref="G47:H47"/>
    <mergeCell ref="B48:C48"/>
    <mergeCell ref="D48:S48"/>
    <mergeCell ref="D49:F49"/>
    <mergeCell ref="G49:H49"/>
    <mergeCell ref="B41:C41"/>
    <mergeCell ref="D41:F41"/>
    <mergeCell ref="G41:H41"/>
    <mergeCell ref="B42:C42"/>
    <mergeCell ref="D42:F42"/>
    <mergeCell ref="G42:H42"/>
    <mergeCell ref="B43:C43"/>
    <mergeCell ref="K58:P58"/>
    <mergeCell ref="K59:M60"/>
    <mergeCell ref="N59:P60"/>
    <mergeCell ref="K61:M61"/>
    <mergeCell ref="N61:P61"/>
    <mergeCell ref="K62:M62"/>
    <mergeCell ref="N62:P62"/>
    <mergeCell ref="G13:O13"/>
    <mergeCell ref="G14:O14"/>
    <mergeCell ref="R14:S14"/>
    <mergeCell ref="G15:O15"/>
    <mergeCell ref="R15:S15"/>
    <mergeCell ref="B17:S18"/>
    <mergeCell ref="C20:I20"/>
    <mergeCell ref="J20:L20"/>
    <mergeCell ref="M20:O20"/>
    <mergeCell ref="G6:M6"/>
    <mergeCell ref="N6:P6"/>
    <mergeCell ref="B6:F6"/>
    <mergeCell ref="B7:F7"/>
    <mergeCell ref="G7:M7"/>
    <mergeCell ref="N7:P7"/>
    <mergeCell ref="B5:F5"/>
    <mergeCell ref="B8:F8"/>
    <mergeCell ref="B10:F10"/>
    <mergeCell ref="B11:F11"/>
    <mergeCell ref="B12:F15"/>
    <mergeCell ref="B2:S2"/>
    <mergeCell ref="B4:F4"/>
    <mergeCell ref="G4:S4"/>
    <mergeCell ref="T4:T8"/>
    <mergeCell ref="G5:S5"/>
    <mergeCell ref="Q6:S6"/>
    <mergeCell ref="Q7:S7"/>
    <mergeCell ref="G8:S8"/>
    <mergeCell ref="G10:S10"/>
    <mergeCell ref="G11:S11"/>
    <mergeCell ref="G12:O12"/>
    <mergeCell ref="R12:S12"/>
    <mergeCell ref="T12:T15"/>
    <mergeCell ref="R13:S13"/>
    <mergeCell ref="J23:L23"/>
    <mergeCell ref="M23:O23"/>
    <mergeCell ref="C22:I22"/>
    <mergeCell ref="C23:I23"/>
    <mergeCell ref="C24:I24"/>
    <mergeCell ref="J24:L24"/>
    <mergeCell ref="C21:I21"/>
    <mergeCell ref="J21:L21"/>
    <mergeCell ref="M21:O21"/>
    <mergeCell ref="T21:T24"/>
    <mergeCell ref="U21:U24"/>
    <mergeCell ref="J22:L22"/>
    <mergeCell ref="M22:O22"/>
    <mergeCell ref="C29:K29"/>
    <mergeCell ref="C30:K30"/>
    <mergeCell ref="L30:S30"/>
    <mergeCell ref="C31:K31"/>
    <mergeCell ref="L31:S31"/>
    <mergeCell ref="T28:T31"/>
    <mergeCell ref="T33:T34"/>
    <mergeCell ref="M24:O24"/>
    <mergeCell ref="B25:S25"/>
    <mergeCell ref="B27:S27"/>
    <mergeCell ref="C28:K28"/>
    <mergeCell ref="L28:S28"/>
    <mergeCell ref="L29:S29"/>
    <mergeCell ref="B33:S33"/>
    <mergeCell ref="D46:F46"/>
    <mergeCell ref="G46:H46"/>
    <mergeCell ref="B44:C44"/>
    <mergeCell ref="D44:F44"/>
    <mergeCell ref="G44:H44"/>
    <mergeCell ref="B45:C45"/>
    <mergeCell ref="D45:F45"/>
    <mergeCell ref="G45:H45"/>
    <mergeCell ref="B46:C46"/>
    <mergeCell ref="D55:F55"/>
    <mergeCell ref="G55:H55"/>
    <mergeCell ref="B53:C53"/>
    <mergeCell ref="D53:F53"/>
    <mergeCell ref="G53:H53"/>
    <mergeCell ref="B54:C54"/>
    <mergeCell ref="D54:F54"/>
    <mergeCell ref="G54:H54"/>
    <mergeCell ref="B55:C55"/>
    <mergeCell ref="B58:H60"/>
    <mergeCell ref="I58:J60"/>
    <mergeCell ref="C61:H61"/>
    <mergeCell ref="I61:J61"/>
    <mergeCell ref="C62:H62"/>
    <mergeCell ref="I62:J62"/>
    <mergeCell ref="I63:J63"/>
    <mergeCell ref="C63:H63"/>
    <mergeCell ref="C64:H64"/>
    <mergeCell ref="I64:J64"/>
    <mergeCell ref="C65:H65"/>
    <mergeCell ref="I65:J65"/>
    <mergeCell ref="B69:H71"/>
    <mergeCell ref="I69:J71"/>
    <mergeCell ref="C75:H75"/>
    <mergeCell ref="C76:H76"/>
    <mergeCell ref="I76:J76"/>
    <mergeCell ref="C72:H72"/>
    <mergeCell ref="I72:J72"/>
    <mergeCell ref="C73:H73"/>
    <mergeCell ref="I73:J73"/>
    <mergeCell ref="C74:H74"/>
    <mergeCell ref="I74:J74"/>
    <mergeCell ref="I75:J75"/>
    <mergeCell ref="Q59:Q60"/>
    <mergeCell ref="R59:R60"/>
    <mergeCell ref="Q66:R66"/>
    <mergeCell ref="Q69:R69"/>
    <mergeCell ref="S69:S71"/>
    <mergeCell ref="Q70:Q71"/>
    <mergeCell ref="R70:R71"/>
    <mergeCell ref="Q39:Q40"/>
    <mergeCell ref="R39:R40"/>
    <mergeCell ref="T41:T55"/>
    <mergeCell ref="Q56:R56"/>
    <mergeCell ref="Q58:R58"/>
    <mergeCell ref="S58:S60"/>
    <mergeCell ref="T58:T76"/>
    <mergeCell ref="Q85:S85"/>
    <mergeCell ref="Q86:S86"/>
    <mergeCell ref="T107:T110"/>
    <mergeCell ref="Q108:S108"/>
    <mergeCell ref="Q109:S109"/>
    <mergeCell ref="Q110:S110"/>
    <mergeCell ref="Q77:R77"/>
    <mergeCell ref="Q78:R78"/>
    <mergeCell ref="Q80:S80"/>
    <mergeCell ref="Q81:S81"/>
    <mergeCell ref="Q82:S82"/>
    <mergeCell ref="Q83:S83"/>
    <mergeCell ref="Q84:S84"/>
    <mergeCell ref="K63:M63"/>
    <mergeCell ref="N63:P63"/>
    <mergeCell ref="K64:M64"/>
    <mergeCell ref="N64:P64"/>
    <mergeCell ref="K65:M65"/>
    <mergeCell ref="N65:P65"/>
    <mergeCell ref="B66:P67"/>
    <mergeCell ref="K69:P69"/>
    <mergeCell ref="K70:M71"/>
    <mergeCell ref="N70:P71"/>
    <mergeCell ref="K72:M72"/>
    <mergeCell ref="N72:P72"/>
    <mergeCell ref="K73:M73"/>
    <mergeCell ref="N73:P73"/>
    <mergeCell ref="K74:M74"/>
    <mergeCell ref="N74:P74"/>
    <mergeCell ref="K75:M75"/>
    <mergeCell ref="N75:P75"/>
    <mergeCell ref="K76:M76"/>
    <mergeCell ref="N76:P76"/>
    <mergeCell ref="B77:P78"/>
    <mergeCell ref="C80:P80"/>
    <mergeCell ref="C81:P81"/>
    <mergeCell ref="C82:P82"/>
    <mergeCell ref="C83:P83"/>
    <mergeCell ref="C84:P84"/>
    <mergeCell ref="C85:P85"/>
    <mergeCell ref="B86:P86"/>
    <mergeCell ref="B88:S88"/>
    <mergeCell ref="B89:S89"/>
    <mergeCell ref="B90:S90"/>
    <mergeCell ref="B91:S91"/>
    <mergeCell ref="B92:S92"/>
    <mergeCell ref="B94:S94"/>
    <mergeCell ref="B95:S95"/>
    <mergeCell ref="B96:S96"/>
    <mergeCell ref="B97:S97"/>
    <mergeCell ref="B98:S99"/>
    <mergeCell ref="B100:S100"/>
    <mergeCell ref="B101:S101"/>
    <mergeCell ref="B104:S104"/>
    <mergeCell ref="B105:S105"/>
    <mergeCell ref="D110:N110"/>
    <mergeCell ref="O110:P110"/>
    <mergeCell ref="B107:N107"/>
    <mergeCell ref="O107:S107"/>
    <mergeCell ref="D108:N108"/>
    <mergeCell ref="O108:P108"/>
    <mergeCell ref="D109:N109"/>
    <mergeCell ref="O109:P109"/>
    <mergeCell ref="B110:C110"/>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9"/>
    <col customWidth="1" min="2" max="2" width="55.57"/>
    <col customWidth="1" min="3" max="3" width="23.57"/>
    <col customWidth="1" min="4" max="4" width="45.0"/>
    <col customWidth="1" min="5" max="26" width="8.71"/>
  </cols>
  <sheetData>
    <row r="1" ht="14.25" customHeight="1">
      <c r="A1" s="1" t="s">
        <v>0</v>
      </c>
      <c r="B1" s="3" t="s">
        <v>2</v>
      </c>
      <c r="C1" s="3" t="s">
        <v>3</v>
      </c>
      <c r="D1" s="3" t="s">
        <v>5</v>
      </c>
    </row>
    <row r="2" ht="14.25" customHeight="1">
      <c r="A2" s="6">
        <v>1.0</v>
      </c>
      <c r="B2" s="8" t="s">
        <v>6</v>
      </c>
      <c r="C2" s="8"/>
      <c r="D2" s="8"/>
    </row>
    <row r="3" ht="14.25" customHeight="1">
      <c r="A3" s="6">
        <v>2.0</v>
      </c>
      <c r="B3" s="8" t="s">
        <v>8</v>
      </c>
      <c r="C3" s="8"/>
      <c r="D3" s="8"/>
    </row>
    <row r="4" ht="14.25" customHeight="1">
      <c r="A4" s="6">
        <v>3.0</v>
      </c>
      <c r="B4" s="13" t="s">
        <v>12</v>
      </c>
      <c r="C4" s="8"/>
      <c r="D4" s="8"/>
    </row>
    <row r="5" ht="14.25" customHeight="1">
      <c r="A5" s="6">
        <v>4.0</v>
      </c>
      <c r="B5" s="8" t="s">
        <v>14</v>
      </c>
      <c r="C5" s="8"/>
      <c r="D5" s="8"/>
    </row>
    <row r="6" ht="14.25" customHeight="1">
      <c r="A6" s="6">
        <v>5.0</v>
      </c>
      <c r="B6" s="8" t="s">
        <v>16</v>
      </c>
      <c r="C6" s="8"/>
      <c r="D6" s="8"/>
    </row>
    <row r="7" ht="14.25" customHeight="1">
      <c r="A7" s="6">
        <v>6.0</v>
      </c>
      <c r="B7" s="8" t="s">
        <v>18</v>
      </c>
      <c r="C7" s="8"/>
      <c r="D7" s="8"/>
    </row>
    <row r="8" ht="14.25" customHeight="1">
      <c r="A8" s="6">
        <v>7.0</v>
      </c>
      <c r="B8" s="8" t="s">
        <v>21</v>
      </c>
      <c r="C8" s="8"/>
      <c r="D8" s="8"/>
    </row>
    <row r="9" ht="68.25" customHeight="1">
      <c r="A9" s="6">
        <v>8.0</v>
      </c>
      <c r="B9" s="8" t="s">
        <v>25</v>
      </c>
      <c r="C9" s="8"/>
      <c r="D9" s="8"/>
    </row>
    <row r="10" ht="26.25" customHeight="1">
      <c r="A10" s="6">
        <v>9.0</v>
      </c>
      <c r="B10" s="8" t="s">
        <v>26</v>
      </c>
      <c r="C10" s="8"/>
      <c r="D10" s="8"/>
    </row>
    <row r="11" ht="35.25" customHeight="1">
      <c r="A11" s="6">
        <v>10.0</v>
      </c>
      <c r="B11" s="8" t="s">
        <v>28</v>
      </c>
      <c r="C11" s="8"/>
      <c r="D11" s="8"/>
    </row>
    <row r="12" ht="33.75" customHeight="1">
      <c r="A12" s="6">
        <v>11.0</v>
      </c>
      <c r="B12" s="8" t="s">
        <v>29</v>
      </c>
      <c r="C12" s="8"/>
      <c r="D12" s="8"/>
    </row>
    <row r="13" ht="14.25" customHeight="1">
      <c r="A13" s="6">
        <v>12.0</v>
      </c>
      <c r="B13" s="8" t="s">
        <v>31</v>
      </c>
      <c r="C13" s="8"/>
      <c r="D13" s="8"/>
    </row>
    <row r="14" ht="23.25" customHeight="1">
      <c r="A14" s="6">
        <v>13.0</v>
      </c>
      <c r="B14" s="8" t="s">
        <v>32</v>
      </c>
      <c r="C14" s="8"/>
      <c r="D14" s="8"/>
    </row>
    <row r="15" ht="14.25" customHeight="1">
      <c r="A15" s="6">
        <v>14.0</v>
      </c>
      <c r="B15" s="8" t="s">
        <v>35</v>
      </c>
      <c r="C15" s="8"/>
      <c r="D15" s="8"/>
    </row>
    <row r="16" ht="14.25" customHeight="1">
      <c r="A16" s="23">
        <v>15.0</v>
      </c>
      <c r="B16" s="25" t="s">
        <v>36</v>
      </c>
      <c r="C16" s="27"/>
      <c r="D16" s="29"/>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custom" allowBlank="1" showDropDown="1" sqref="A2:A16">
      <formula1>AND(ISNUMBER(A2),(NOT(OR(NOT(ISERROR(DATEVALUE(A2))), AND(ISNUMBER(A2), LEFT(CELL("format", A2))="D")))))</formula1>
    </dataValidation>
    <dataValidation type="list" allowBlank="1" showErrorMessage="1" sqref="C2:C16">
      <formula1>"Pass,Fail"</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3"/>
    <col customWidth="1" min="2" max="2" width="5.0"/>
    <col customWidth="1" min="3" max="3" width="4.43"/>
    <col customWidth="1" min="4" max="4" width="3.0"/>
    <col customWidth="1" min="5" max="5" width="3.43"/>
    <col customWidth="1" min="6" max="8" width="3.14"/>
    <col customWidth="1" min="9" max="9" width="2.86"/>
    <col customWidth="1" min="10" max="10" width="3.14"/>
    <col customWidth="1" min="11" max="11" width="2.43"/>
    <col customWidth="1" min="12" max="12" width="2.86"/>
    <col customWidth="1" min="13" max="13" width="3.43"/>
    <col customWidth="1" min="14" max="14" width="3.0"/>
    <col customWidth="1" min="15" max="15" width="3.43"/>
    <col customWidth="1" min="16" max="16" width="6.43"/>
    <col customWidth="1" min="17" max="17" width="11.14"/>
    <col customWidth="1" min="18" max="18" width="5.86"/>
    <col customWidth="1" min="19" max="19" width="7.43"/>
    <col customWidth="1" min="20" max="20" width="11.86"/>
    <col customWidth="1" min="21" max="21" width="58.43"/>
    <col customWidth="1" min="22" max="26" width="8.86"/>
  </cols>
  <sheetData>
    <row r="1" ht="12.0" customHeight="1">
      <c r="A1" s="17"/>
      <c r="B1" s="17"/>
      <c r="C1" s="17"/>
      <c r="D1" s="17"/>
      <c r="E1" s="17"/>
      <c r="F1" s="17"/>
      <c r="G1" s="17"/>
      <c r="H1" s="17"/>
      <c r="I1" s="17"/>
      <c r="J1" s="17"/>
      <c r="K1" s="17"/>
      <c r="L1" s="17"/>
      <c r="M1" s="17"/>
      <c r="N1" s="17"/>
      <c r="O1" s="17"/>
      <c r="P1" s="17"/>
      <c r="Q1" s="17"/>
      <c r="R1" s="17"/>
      <c r="S1" s="17"/>
      <c r="T1" s="17"/>
      <c r="U1" s="17"/>
      <c r="V1" s="17"/>
      <c r="W1" s="17"/>
      <c r="X1" s="17"/>
      <c r="Y1" s="17"/>
      <c r="Z1" s="17"/>
    </row>
    <row r="2" ht="46.5" customHeight="1">
      <c r="A2" s="17"/>
      <c r="B2" s="20" t="s">
        <v>1</v>
      </c>
      <c r="T2" s="17"/>
      <c r="U2" s="17"/>
      <c r="V2" s="17"/>
      <c r="W2" s="17"/>
      <c r="X2" s="17"/>
      <c r="Y2" s="17"/>
      <c r="Z2" s="17"/>
    </row>
    <row r="3" ht="12.0" customHeight="1">
      <c r="A3" s="17"/>
      <c r="B3" s="17"/>
      <c r="C3" s="17"/>
      <c r="D3" s="17"/>
      <c r="E3" s="17"/>
      <c r="F3" s="17"/>
      <c r="G3" s="17"/>
      <c r="H3" s="17"/>
      <c r="I3" s="17"/>
      <c r="J3" s="17"/>
      <c r="K3" s="17"/>
      <c r="L3" s="17"/>
      <c r="M3" s="17"/>
      <c r="N3" s="17"/>
      <c r="O3" s="17"/>
      <c r="P3" s="17"/>
      <c r="Q3" s="17"/>
      <c r="R3" s="17"/>
      <c r="S3" s="17"/>
      <c r="T3" s="17"/>
      <c r="U3" s="17"/>
      <c r="V3" s="17"/>
      <c r="W3" s="17"/>
      <c r="X3" s="17"/>
      <c r="Y3" s="17"/>
      <c r="Z3" s="17"/>
    </row>
    <row r="4" ht="20.25" customHeight="1">
      <c r="A4" s="17"/>
      <c r="B4" s="30" t="s">
        <v>4</v>
      </c>
      <c r="C4" s="5"/>
      <c r="D4" s="5"/>
      <c r="E4" s="5"/>
      <c r="F4" s="7"/>
      <c r="G4" s="32"/>
      <c r="H4" s="5"/>
      <c r="I4" s="5"/>
      <c r="J4" s="5"/>
      <c r="K4" s="5"/>
      <c r="L4" s="5"/>
      <c r="M4" s="5"/>
      <c r="N4" s="5"/>
      <c r="O4" s="5"/>
      <c r="P4" s="5"/>
      <c r="Q4" s="5"/>
      <c r="R4" s="5"/>
      <c r="S4" s="7"/>
      <c r="T4" s="17"/>
      <c r="U4" s="17"/>
      <c r="V4" s="17"/>
      <c r="W4" s="17"/>
      <c r="X4" s="17"/>
      <c r="Y4" s="17"/>
      <c r="Z4" s="17"/>
    </row>
    <row r="5" ht="20.25" customHeight="1">
      <c r="A5" s="17"/>
      <c r="B5" s="34" t="s">
        <v>10</v>
      </c>
      <c r="C5" s="5"/>
      <c r="D5" s="5"/>
      <c r="E5" s="5"/>
      <c r="F5" s="7"/>
      <c r="G5" s="37"/>
      <c r="H5" s="5"/>
      <c r="I5" s="5"/>
      <c r="J5" s="5"/>
      <c r="K5" s="5"/>
      <c r="L5" s="5"/>
      <c r="M5" s="5"/>
      <c r="N5" s="5"/>
      <c r="O5" s="5"/>
      <c r="P5" s="5"/>
      <c r="Q5" s="5"/>
      <c r="R5" s="5"/>
      <c r="S5" s="7"/>
      <c r="T5" s="17"/>
      <c r="U5" s="17"/>
      <c r="V5" s="17"/>
      <c r="W5" s="17"/>
      <c r="X5" s="17"/>
      <c r="Y5" s="17"/>
      <c r="Z5" s="17"/>
    </row>
    <row r="6" ht="24.0" customHeight="1">
      <c r="A6" s="17"/>
      <c r="B6" s="34" t="s">
        <v>13</v>
      </c>
      <c r="C6" s="5"/>
      <c r="D6" s="5"/>
      <c r="E6" s="5"/>
      <c r="F6" s="7"/>
      <c r="G6" s="40"/>
      <c r="H6" s="5"/>
      <c r="I6" s="5"/>
      <c r="J6" s="5"/>
      <c r="K6" s="5"/>
      <c r="L6" s="5"/>
      <c r="M6" s="7"/>
      <c r="N6" s="42" t="s">
        <v>17</v>
      </c>
      <c r="O6" s="5"/>
      <c r="P6" s="7"/>
      <c r="Q6" s="40"/>
      <c r="R6" s="5"/>
      <c r="S6" s="7"/>
      <c r="T6" s="17"/>
      <c r="U6" s="17"/>
      <c r="V6" s="17"/>
      <c r="W6" s="17"/>
      <c r="X6" s="17"/>
      <c r="Y6" s="17"/>
      <c r="Z6" s="17"/>
    </row>
    <row r="7" ht="48.0" customHeight="1">
      <c r="A7" s="17"/>
      <c r="B7" s="34" t="s">
        <v>20</v>
      </c>
      <c r="C7" s="5"/>
      <c r="D7" s="5"/>
      <c r="E7" s="5"/>
      <c r="F7" s="7"/>
      <c r="G7" s="40" t="s">
        <v>43</v>
      </c>
      <c r="H7" s="5"/>
      <c r="I7" s="5"/>
      <c r="J7" s="5"/>
      <c r="K7" s="5"/>
      <c r="L7" s="5"/>
      <c r="M7" s="7"/>
      <c r="N7" s="42" t="s">
        <v>23</v>
      </c>
      <c r="O7" s="5"/>
      <c r="P7" s="7"/>
      <c r="Q7" s="40"/>
      <c r="R7" s="5"/>
      <c r="S7" s="7"/>
      <c r="T7" s="17"/>
      <c r="U7" s="17"/>
      <c r="V7" s="17"/>
      <c r="W7" s="17"/>
      <c r="X7" s="17"/>
      <c r="Y7" s="17"/>
      <c r="Z7" s="17"/>
    </row>
    <row r="8" ht="20.25" customHeight="1">
      <c r="A8" s="17"/>
      <c r="B8" s="34" t="s">
        <v>24</v>
      </c>
      <c r="C8" s="5"/>
      <c r="D8" s="5"/>
      <c r="E8" s="5"/>
      <c r="F8" s="7"/>
      <c r="G8" s="40"/>
      <c r="H8" s="5"/>
      <c r="I8" s="5"/>
      <c r="J8" s="5"/>
      <c r="K8" s="5"/>
      <c r="L8" s="5"/>
      <c r="M8" s="5"/>
      <c r="N8" s="5"/>
      <c r="O8" s="5"/>
      <c r="P8" s="5"/>
      <c r="Q8" s="5"/>
      <c r="R8" s="5"/>
      <c r="S8" s="7"/>
      <c r="T8" s="17"/>
      <c r="U8" s="17"/>
      <c r="V8" s="17"/>
      <c r="W8" s="17"/>
      <c r="X8" s="17"/>
      <c r="Y8" s="17"/>
      <c r="Z8" s="17"/>
    </row>
    <row r="9" ht="12.0" customHeight="1">
      <c r="A9" s="17"/>
      <c r="B9" s="17"/>
      <c r="C9" s="17"/>
      <c r="D9" s="17"/>
      <c r="E9" s="17"/>
      <c r="F9" s="17"/>
      <c r="G9" s="17"/>
      <c r="H9" s="17"/>
      <c r="I9" s="17"/>
      <c r="J9" s="17"/>
      <c r="K9" s="17"/>
      <c r="L9" s="17"/>
      <c r="M9" s="17"/>
      <c r="N9" s="17"/>
      <c r="O9" s="17"/>
      <c r="P9" s="17"/>
      <c r="Q9" s="17"/>
      <c r="R9" s="17"/>
      <c r="S9" s="17"/>
      <c r="T9" s="17"/>
      <c r="U9" s="17"/>
      <c r="V9" s="17"/>
      <c r="W9" s="17"/>
      <c r="X9" s="17"/>
      <c r="Y9" s="17"/>
      <c r="Z9" s="17"/>
    </row>
    <row r="10" ht="99.75" customHeight="1">
      <c r="A10" s="17"/>
      <c r="B10" s="51" t="s">
        <v>27</v>
      </c>
      <c r="C10" s="5"/>
      <c r="D10" s="5"/>
      <c r="E10" s="5"/>
      <c r="F10" s="7"/>
      <c r="G10" s="53"/>
      <c r="H10" s="5"/>
      <c r="I10" s="5"/>
      <c r="J10" s="5"/>
      <c r="K10" s="5"/>
      <c r="L10" s="5"/>
      <c r="M10" s="5"/>
      <c r="N10" s="5"/>
      <c r="O10" s="5"/>
      <c r="P10" s="5"/>
      <c r="Q10" s="5"/>
      <c r="R10" s="5"/>
      <c r="S10" s="7"/>
      <c r="T10" s="17"/>
      <c r="U10" s="17"/>
      <c r="V10" s="17"/>
      <c r="W10" s="17"/>
      <c r="X10" s="17"/>
      <c r="Y10" s="17"/>
      <c r="Z10" s="17"/>
    </row>
    <row r="11" ht="64.5" customHeight="1">
      <c r="A11" s="17"/>
      <c r="B11" s="51" t="s">
        <v>34</v>
      </c>
      <c r="C11" s="5"/>
      <c r="D11" s="5"/>
      <c r="E11" s="5"/>
      <c r="F11" s="7"/>
      <c r="G11" s="57"/>
      <c r="H11" s="5"/>
      <c r="I11" s="5"/>
      <c r="J11" s="5"/>
      <c r="K11" s="5"/>
      <c r="L11" s="5"/>
      <c r="M11" s="5"/>
      <c r="N11" s="5"/>
      <c r="O11" s="5"/>
      <c r="P11" s="5"/>
      <c r="Q11" s="5"/>
      <c r="R11" s="5"/>
      <c r="S11" s="7"/>
      <c r="T11" s="17"/>
      <c r="U11" s="17"/>
      <c r="V11" s="17"/>
      <c r="W11" s="17"/>
      <c r="X11" s="17"/>
      <c r="Y11" s="17"/>
      <c r="Z11" s="17"/>
    </row>
    <row r="12" ht="24.75" customHeight="1">
      <c r="A12" s="17"/>
      <c r="B12" s="59" t="s">
        <v>37</v>
      </c>
      <c r="C12" s="28"/>
      <c r="D12" s="28"/>
      <c r="E12" s="28"/>
      <c r="F12" s="31"/>
      <c r="G12" s="51" t="s">
        <v>39</v>
      </c>
      <c r="H12" s="5"/>
      <c r="I12" s="5"/>
      <c r="J12" s="5"/>
      <c r="K12" s="5"/>
      <c r="L12" s="5"/>
      <c r="M12" s="5"/>
      <c r="N12" s="5"/>
      <c r="O12" s="7"/>
      <c r="P12" s="63" t="s">
        <v>40</v>
      </c>
      <c r="Q12" s="63" t="s">
        <v>41</v>
      </c>
      <c r="R12" s="51" t="s">
        <v>42</v>
      </c>
      <c r="S12" s="7"/>
      <c r="T12" s="17"/>
      <c r="U12" s="17"/>
      <c r="V12" s="17"/>
      <c r="W12" s="17"/>
      <c r="X12" s="17"/>
      <c r="Y12" s="17"/>
      <c r="Z12" s="17"/>
    </row>
    <row r="13" ht="10.5" customHeight="1">
      <c r="A13" s="17"/>
      <c r="B13" s="14"/>
      <c r="F13" s="35"/>
      <c r="G13" s="66"/>
      <c r="H13" s="5"/>
      <c r="I13" s="5"/>
      <c r="J13" s="5"/>
      <c r="K13" s="5"/>
      <c r="L13" s="5"/>
      <c r="M13" s="5"/>
      <c r="N13" s="5"/>
      <c r="O13" s="5"/>
      <c r="P13" s="68"/>
      <c r="Q13" s="68"/>
      <c r="R13" s="66"/>
      <c r="S13" s="7"/>
      <c r="T13" s="17"/>
      <c r="U13" s="17"/>
      <c r="V13" s="17"/>
      <c r="W13" s="17"/>
      <c r="X13" s="17"/>
      <c r="Y13" s="17"/>
      <c r="Z13" s="17"/>
    </row>
    <row r="14" ht="15.75" customHeight="1">
      <c r="A14" s="17"/>
      <c r="B14" s="14"/>
      <c r="F14" s="35"/>
      <c r="G14" s="40"/>
      <c r="H14" s="5"/>
      <c r="I14" s="5"/>
      <c r="J14" s="5"/>
      <c r="K14" s="5"/>
      <c r="L14" s="5"/>
      <c r="M14" s="5"/>
      <c r="N14" s="5"/>
      <c r="O14" s="5"/>
      <c r="P14" s="73"/>
      <c r="Q14" s="73"/>
      <c r="R14" s="40"/>
      <c r="S14" s="7"/>
      <c r="T14" s="17"/>
      <c r="U14" s="76"/>
      <c r="V14" s="17"/>
      <c r="W14" s="17"/>
      <c r="X14" s="17"/>
      <c r="Y14" s="17"/>
      <c r="Z14" s="17"/>
    </row>
    <row r="15" ht="15.75" customHeight="1">
      <c r="A15" s="17"/>
      <c r="B15" s="43"/>
      <c r="C15" s="44"/>
      <c r="D15" s="44"/>
      <c r="E15" s="44"/>
      <c r="F15" s="45"/>
      <c r="G15" s="40"/>
      <c r="H15" s="5"/>
      <c r="I15" s="5"/>
      <c r="J15" s="5"/>
      <c r="K15" s="5"/>
      <c r="L15" s="5"/>
      <c r="M15" s="5"/>
      <c r="N15" s="5"/>
      <c r="O15" s="5"/>
      <c r="P15" s="73"/>
      <c r="Q15" s="73"/>
      <c r="R15" s="40"/>
      <c r="S15" s="7"/>
      <c r="T15" s="17"/>
      <c r="U15" s="76"/>
      <c r="V15" s="17"/>
      <c r="W15" s="17"/>
      <c r="X15" s="17"/>
      <c r="Y15" s="17"/>
      <c r="Z15" s="17"/>
    </row>
    <row r="16" ht="12.0" customHeight="1">
      <c r="A16" s="17"/>
      <c r="B16" s="17"/>
      <c r="C16" s="17"/>
      <c r="D16" s="17"/>
      <c r="E16" s="17"/>
      <c r="F16" s="17"/>
      <c r="G16" s="17"/>
      <c r="H16" s="17"/>
      <c r="I16" s="17"/>
      <c r="J16" s="17"/>
      <c r="K16" s="17"/>
      <c r="L16" s="17"/>
      <c r="M16" s="17"/>
      <c r="N16" s="17"/>
      <c r="O16" s="17"/>
      <c r="P16" s="17"/>
      <c r="Q16" s="17"/>
      <c r="R16" s="17"/>
      <c r="S16" s="17"/>
      <c r="T16" s="17"/>
      <c r="U16" s="76"/>
      <c r="V16" s="17"/>
      <c r="W16" s="17"/>
      <c r="X16" s="17"/>
      <c r="Y16" s="17"/>
      <c r="Z16" s="17"/>
    </row>
    <row r="17" ht="14.25" customHeight="1">
      <c r="A17" s="17"/>
      <c r="B17" s="85" t="s">
        <v>44</v>
      </c>
      <c r="T17" s="17"/>
      <c r="U17" s="76"/>
      <c r="V17" s="17"/>
      <c r="W17" s="17"/>
      <c r="X17" s="17"/>
      <c r="Y17" s="17"/>
      <c r="Z17" s="17"/>
    </row>
    <row r="18" ht="12.0" customHeight="1">
      <c r="A18" s="17"/>
      <c r="T18" s="17"/>
      <c r="U18" s="76"/>
      <c r="V18" s="17"/>
      <c r="W18" s="17"/>
      <c r="X18" s="17"/>
      <c r="Y18" s="17"/>
      <c r="Z18" s="17"/>
    </row>
    <row r="19" ht="12.0" customHeight="1">
      <c r="A19" s="17"/>
      <c r="B19" s="17"/>
      <c r="C19" s="17"/>
      <c r="D19" s="17"/>
      <c r="E19" s="17"/>
      <c r="F19" s="17"/>
      <c r="G19" s="17"/>
      <c r="H19" s="17"/>
      <c r="I19" s="17"/>
      <c r="J19" s="17"/>
      <c r="K19" s="17"/>
      <c r="L19" s="17"/>
      <c r="M19" s="17"/>
      <c r="N19" s="17"/>
      <c r="O19" s="17"/>
      <c r="P19" s="17"/>
      <c r="Q19" s="17"/>
      <c r="R19" s="17"/>
      <c r="S19" s="17"/>
      <c r="T19" s="17"/>
      <c r="U19" s="76"/>
      <c r="V19" s="17"/>
      <c r="W19" s="17"/>
      <c r="X19" s="17"/>
      <c r="Y19" s="17"/>
      <c r="Z19" s="17"/>
    </row>
    <row r="20" ht="63.0" customHeight="1">
      <c r="A20" s="90"/>
      <c r="B20" s="91" t="s">
        <v>45</v>
      </c>
      <c r="C20" s="7"/>
      <c r="D20" s="91" t="s">
        <v>99</v>
      </c>
      <c r="E20" s="5"/>
      <c r="F20" s="5"/>
      <c r="G20" s="5"/>
      <c r="H20" s="5"/>
      <c r="I20" s="5"/>
      <c r="J20" s="5"/>
      <c r="K20" s="7"/>
      <c r="L20" s="93" t="s">
        <v>100</v>
      </c>
      <c r="M20" s="7"/>
      <c r="N20" s="93" t="s">
        <v>101</v>
      </c>
      <c r="O20" s="5"/>
      <c r="P20" s="7"/>
      <c r="Q20" s="94" t="s">
        <v>56</v>
      </c>
      <c r="R20" s="93" t="s">
        <v>102</v>
      </c>
      <c r="S20" s="7"/>
      <c r="T20" s="90"/>
      <c r="U20" s="76"/>
      <c r="V20" s="90"/>
      <c r="W20" s="90"/>
      <c r="X20" s="90"/>
      <c r="Y20" s="90"/>
      <c r="Z20" s="90"/>
    </row>
    <row r="21" ht="27.75" customHeight="1">
      <c r="A21" s="17"/>
      <c r="B21" s="53" t="s">
        <v>59</v>
      </c>
      <c r="C21" s="7"/>
      <c r="D21" s="97"/>
      <c r="E21" s="5"/>
      <c r="F21" s="5"/>
      <c r="G21" s="5"/>
      <c r="H21" s="5"/>
      <c r="I21" s="5"/>
      <c r="J21" s="5"/>
      <c r="K21" s="7"/>
      <c r="L21" s="100"/>
      <c r="M21" s="7"/>
      <c r="N21" s="100"/>
      <c r="O21" s="5"/>
      <c r="P21" s="7"/>
      <c r="Q21" s="23"/>
      <c r="R21" s="57"/>
      <c r="S21" s="7"/>
      <c r="T21" s="17"/>
      <c r="U21" s="17"/>
      <c r="V21" s="17"/>
      <c r="W21" s="17"/>
      <c r="X21" s="17"/>
      <c r="Y21" s="17"/>
      <c r="Z21" s="17"/>
    </row>
    <row r="22" ht="27.75" customHeight="1">
      <c r="A22" s="17"/>
      <c r="B22" s="53" t="s">
        <v>67</v>
      </c>
      <c r="C22" s="7"/>
      <c r="D22" s="97"/>
      <c r="E22" s="5"/>
      <c r="F22" s="5"/>
      <c r="G22" s="5"/>
      <c r="H22" s="5"/>
      <c r="I22" s="5"/>
      <c r="J22" s="5"/>
      <c r="K22" s="7"/>
      <c r="L22" s="100"/>
      <c r="M22" s="7"/>
      <c r="N22" s="100"/>
      <c r="O22" s="5"/>
      <c r="P22" s="7"/>
      <c r="Q22" s="23"/>
      <c r="R22" s="57"/>
      <c r="S22" s="7"/>
      <c r="T22" s="17"/>
      <c r="U22" s="17"/>
      <c r="V22" s="17"/>
      <c r="W22" s="17"/>
      <c r="X22" s="17"/>
      <c r="Y22" s="17"/>
      <c r="Z22" s="17"/>
    </row>
    <row r="23" ht="27.75" customHeight="1">
      <c r="A23" s="17"/>
      <c r="B23" s="53" t="s">
        <v>77</v>
      </c>
      <c r="C23" s="7"/>
      <c r="D23" s="97"/>
      <c r="E23" s="5"/>
      <c r="F23" s="5"/>
      <c r="G23" s="5"/>
      <c r="H23" s="5"/>
      <c r="I23" s="5"/>
      <c r="J23" s="5"/>
      <c r="K23" s="7"/>
      <c r="L23" s="100"/>
      <c r="M23" s="7"/>
      <c r="N23" s="100"/>
      <c r="O23" s="5"/>
      <c r="P23" s="7"/>
      <c r="Q23" s="23"/>
      <c r="R23" s="57"/>
      <c r="S23" s="7"/>
      <c r="T23" s="17"/>
      <c r="U23" s="17"/>
      <c r="V23" s="17"/>
      <c r="W23" s="17"/>
      <c r="X23" s="17"/>
      <c r="Y23" s="17"/>
      <c r="Z23" s="17"/>
    </row>
    <row r="24" ht="27.75" customHeight="1">
      <c r="A24" s="17"/>
      <c r="B24" s="53" t="s">
        <v>89</v>
      </c>
      <c r="C24" s="7"/>
      <c r="D24" s="97"/>
      <c r="E24" s="5"/>
      <c r="F24" s="5"/>
      <c r="G24" s="5"/>
      <c r="H24" s="5"/>
      <c r="I24" s="5"/>
      <c r="J24" s="5"/>
      <c r="K24" s="7"/>
      <c r="L24" s="100"/>
      <c r="M24" s="7"/>
      <c r="N24" s="100"/>
      <c r="O24" s="5"/>
      <c r="P24" s="7"/>
      <c r="Q24" s="23"/>
      <c r="R24" s="57"/>
      <c r="S24" s="7"/>
      <c r="T24" s="17"/>
      <c r="U24" s="17"/>
      <c r="V24" s="17"/>
      <c r="W24" s="17"/>
      <c r="X24" s="17"/>
      <c r="Y24" s="17"/>
      <c r="Z24" s="17"/>
    </row>
    <row r="25" ht="81.75" customHeight="1">
      <c r="A25" s="17"/>
      <c r="B25" s="109" t="s">
        <v>108</v>
      </c>
      <c r="C25" s="5"/>
      <c r="D25" s="5"/>
      <c r="E25" s="5"/>
      <c r="F25" s="5"/>
      <c r="G25" s="5"/>
      <c r="H25" s="5"/>
      <c r="I25" s="5"/>
      <c r="J25" s="5"/>
      <c r="K25" s="5"/>
      <c r="L25" s="5"/>
      <c r="M25" s="5"/>
      <c r="N25" s="5"/>
      <c r="O25" s="5"/>
      <c r="P25" s="5"/>
      <c r="Q25" s="5"/>
      <c r="R25" s="5"/>
      <c r="S25" s="7"/>
      <c r="T25" s="17"/>
      <c r="U25" s="17"/>
      <c r="V25" s="17"/>
      <c r="W25" s="17"/>
      <c r="X25" s="17"/>
      <c r="Y25" s="17"/>
      <c r="Z25" s="17"/>
    </row>
    <row r="26" ht="9.0" customHeight="1">
      <c r="A26" s="17"/>
      <c r="B26" s="85"/>
      <c r="C26" s="85"/>
      <c r="D26" s="85"/>
      <c r="E26" s="85"/>
      <c r="F26" s="85"/>
      <c r="G26" s="85"/>
      <c r="H26" s="85"/>
      <c r="I26" s="85"/>
      <c r="J26" s="85"/>
      <c r="K26" s="85"/>
      <c r="L26" s="85"/>
      <c r="M26" s="85"/>
      <c r="N26" s="85"/>
      <c r="O26" s="85"/>
      <c r="P26" s="85"/>
      <c r="Q26" s="85"/>
      <c r="R26" s="85"/>
      <c r="S26" s="85"/>
      <c r="T26" s="17"/>
      <c r="U26" s="17"/>
      <c r="V26" s="17"/>
      <c r="W26" s="17"/>
      <c r="X26" s="17"/>
      <c r="Y26" s="17"/>
      <c r="Z26" s="17"/>
    </row>
    <row r="27" ht="87.0" customHeight="1">
      <c r="A27" s="17"/>
      <c r="B27" s="97" t="s">
        <v>112</v>
      </c>
      <c r="C27" s="5"/>
      <c r="D27" s="5"/>
      <c r="E27" s="5"/>
      <c r="F27" s="5"/>
      <c r="G27" s="5"/>
      <c r="H27" s="5"/>
      <c r="I27" s="5"/>
      <c r="J27" s="5"/>
      <c r="K27" s="5"/>
      <c r="L27" s="5"/>
      <c r="M27" s="5"/>
      <c r="N27" s="5"/>
      <c r="O27" s="5"/>
      <c r="P27" s="5"/>
      <c r="Q27" s="5"/>
      <c r="R27" s="5"/>
      <c r="S27" s="7"/>
      <c r="T27" s="17"/>
      <c r="U27" s="17"/>
      <c r="V27" s="17"/>
      <c r="W27" s="17"/>
      <c r="X27" s="17"/>
      <c r="Y27" s="17"/>
      <c r="Z27" s="17"/>
    </row>
    <row r="28" ht="12.0"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2.0" customHeight="1">
      <c r="A29" s="17"/>
      <c r="B29" s="118" t="s">
        <v>105</v>
      </c>
      <c r="C29" s="44"/>
      <c r="D29" s="44"/>
      <c r="E29" s="44"/>
      <c r="F29" s="44"/>
      <c r="G29" s="44"/>
      <c r="H29" s="44"/>
      <c r="I29" s="44"/>
      <c r="J29" s="44"/>
      <c r="K29" s="44"/>
      <c r="L29" s="44"/>
      <c r="M29" s="44"/>
      <c r="N29" s="44"/>
      <c r="O29" s="44"/>
      <c r="P29" s="44"/>
      <c r="Q29" s="44"/>
      <c r="R29" s="44"/>
      <c r="S29" s="44"/>
      <c r="T29" s="17"/>
      <c r="U29" s="17"/>
      <c r="V29" s="17"/>
      <c r="W29" s="17"/>
      <c r="X29" s="17"/>
      <c r="Y29" s="17"/>
      <c r="Z29" s="17"/>
    </row>
    <row r="30" ht="12.0" customHeight="1">
      <c r="A30" s="17"/>
      <c r="B30" s="121" t="s">
        <v>45</v>
      </c>
      <c r="C30" s="124" t="s">
        <v>106</v>
      </c>
      <c r="D30" s="5"/>
      <c r="E30" s="5"/>
      <c r="F30" s="5"/>
      <c r="G30" s="5"/>
      <c r="H30" s="5"/>
      <c r="I30" s="5"/>
      <c r="J30" s="5"/>
      <c r="K30" s="7"/>
      <c r="L30" s="124" t="s">
        <v>107</v>
      </c>
      <c r="M30" s="5"/>
      <c r="N30" s="5"/>
      <c r="O30" s="5"/>
      <c r="P30" s="5"/>
      <c r="Q30" s="5"/>
      <c r="R30" s="5"/>
      <c r="S30" s="7"/>
      <c r="T30" s="17"/>
      <c r="U30" s="17"/>
      <c r="V30" s="17"/>
      <c r="W30" s="17"/>
      <c r="X30" s="17"/>
      <c r="Y30" s="17"/>
      <c r="Z30" s="17"/>
    </row>
    <row r="31" ht="39.0" customHeight="1">
      <c r="A31" s="17"/>
      <c r="B31" s="23">
        <v>1.0</v>
      </c>
      <c r="C31" s="130"/>
      <c r="D31" s="5"/>
      <c r="E31" s="5"/>
      <c r="F31" s="5"/>
      <c r="G31" s="5"/>
      <c r="H31" s="5"/>
      <c r="I31" s="5"/>
      <c r="J31" s="5"/>
      <c r="K31" s="7"/>
      <c r="L31" s="131"/>
      <c r="M31" s="5"/>
      <c r="N31" s="5"/>
      <c r="O31" s="5"/>
      <c r="P31" s="5"/>
      <c r="Q31" s="5"/>
      <c r="R31" s="5"/>
      <c r="S31" s="7"/>
      <c r="T31" s="17"/>
      <c r="U31" s="17"/>
      <c r="V31" s="17"/>
      <c r="W31" s="17"/>
      <c r="X31" s="17"/>
      <c r="Y31" s="17"/>
      <c r="Z31" s="17"/>
    </row>
    <row r="32" ht="51.75" customHeight="1">
      <c r="A32" s="17"/>
      <c r="B32" s="23">
        <v>2.0</v>
      </c>
      <c r="C32" s="130"/>
      <c r="D32" s="5"/>
      <c r="E32" s="5"/>
      <c r="F32" s="5"/>
      <c r="G32" s="5"/>
      <c r="H32" s="5"/>
      <c r="I32" s="5"/>
      <c r="J32" s="5"/>
      <c r="K32" s="7"/>
      <c r="L32" s="97"/>
      <c r="M32" s="5"/>
      <c r="N32" s="5"/>
      <c r="O32" s="5"/>
      <c r="P32" s="5"/>
      <c r="Q32" s="5"/>
      <c r="R32" s="5"/>
      <c r="S32" s="7"/>
      <c r="T32" s="17"/>
      <c r="U32" s="17"/>
      <c r="V32" s="17"/>
      <c r="W32" s="17"/>
      <c r="X32" s="17"/>
      <c r="Y32" s="17"/>
      <c r="Z32" s="17"/>
    </row>
    <row r="33" ht="39.0" customHeight="1">
      <c r="A33" s="17"/>
      <c r="B33" s="23">
        <v>3.0</v>
      </c>
      <c r="C33" s="135"/>
      <c r="D33" s="5"/>
      <c r="E33" s="5"/>
      <c r="F33" s="5"/>
      <c r="G33" s="5"/>
      <c r="H33" s="5"/>
      <c r="I33" s="5"/>
      <c r="J33" s="5"/>
      <c r="K33" s="7"/>
      <c r="L33" s="97"/>
      <c r="M33" s="5"/>
      <c r="N33" s="5"/>
      <c r="O33" s="5"/>
      <c r="P33" s="5"/>
      <c r="Q33" s="5"/>
      <c r="R33" s="5"/>
      <c r="S33" s="7"/>
      <c r="T33" s="17"/>
      <c r="U33" s="17"/>
      <c r="V33" s="17"/>
      <c r="W33" s="17"/>
      <c r="X33" s="17"/>
      <c r="Y33" s="17"/>
      <c r="Z33" s="17"/>
    </row>
    <row r="34" ht="12.0"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ht="28.5" customHeight="1">
      <c r="A35" s="17"/>
      <c r="B35" s="136" t="s">
        <v>109</v>
      </c>
      <c r="C35" s="5"/>
      <c r="D35" s="5"/>
      <c r="E35" s="5"/>
      <c r="F35" s="5"/>
      <c r="G35" s="5"/>
      <c r="H35" s="5"/>
      <c r="I35" s="5"/>
      <c r="J35" s="5"/>
      <c r="K35" s="5"/>
      <c r="L35" s="5"/>
      <c r="M35" s="5"/>
      <c r="N35" s="5"/>
      <c r="O35" s="5"/>
      <c r="P35" s="5"/>
      <c r="Q35" s="5"/>
      <c r="R35" s="5"/>
      <c r="S35" s="7"/>
      <c r="T35" s="17"/>
      <c r="U35" s="17"/>
      <c r="V35" s="17"/>
      <c r="W35" s="17"/>
      <c r="X35" s="17"/>
      <c r="Y35" s="17"/>
      <c r="Z35" s="17"/>
    </row>
    <row r="36" ht="38.25" customHeight="1">
      <c r="A36" s="17"/>
      <c r="B36" s="97" t="s">
        <v>133</v>
      </c>
      <c r="C36" s="5"/>
      <c r="D36" s="5"/>
      <c r="E36" s="5"/>
      <c r="F36" s="5"/>
      <c r="G36" s="5"/>
      <c r="H36" s="5"/>
      <c r="I36" s="5"/>
      <c r="J36" s="5"/>
      <c r="K36" s="5"/>
      <c r="L36" s="5"/>
      <c r="M36" s="5"/>
      <c r="N36" s="5"/>
      <c r="O36" s="5"/>
      <c r="P36" s="5"/>
      <c r="Q36" s="5"/>
      <c r="R36" s="5"/>
      <c r="S36" s="7"/>
      <c r="T36" s="17"/>
      <c r="U36" s="17"/>
      <c r="V36" s="17"/>
      <c r="W36" s="17"/>
      <c r="X36" s="17"/>
      <c r="Y36" s="17"/>
      <c r="Z36" s="17"/>
    </row>
    <row r="37" ht="15.0"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ht="12.0" customHeight="1">
      <c r="A38" s="17"/>
      <c r="B38" s="137" t="s">
        <v>110</v>
      </c>
      <c r="T38" s="17"/>
      <c r="U38" s="17"/>
      <c r="V38" s="17"/>
      <c r="W38" s="17"/>
      <c r="X38" s="17"/>
      <c r="Y38" s="17"/>
      <c r="Z38" s="17"/>
    </row>
    <row r="39" ht="19.5" customHeight="1">
      <c r="A39" s="17"/>
      <c r="B39" s="138" t="s">
        <v>111</v>
      </c>
      <c r="C39" s="113"/>
      <c r="D39" s="138" t="s">
        <v>113</v>
      </c>
      <c r="E39" s="28"/>
      <c r="F39" s="31"/>
      <c r="G39" s="139" t="s">
        <v>99</v>
      </c>
      <c r="H39" s="31"/>
      <c r="I39" s="140" t="s">
        <v>116</v>
      </c>
      <c r="J39" s="5"/>
      <c r="K39" s="5"/>
      <c r="L39" s="5"/>
      <c r="M39" s="5"/>
      <c r="N39" s="5"/>
      <c r="O39" s="5"/>
      <c r="P39" s="5"/>
      <c r="Q39" s="5"/>
      <c r="R39" s="7"/>
      <c r="S39" s="141" t="s">
        <v>117</v>
      </c>
      <c r="T39" s="17"/>
      <c r="U39" s="17"/>
      <c r="V39" s="17"/>
      <c r="W39" s="17"/>
      <c r="X39" s="17"/>
      <c r="Y39" s="17"/>
      <c r="Z39" s="17"/>
    </row>
    <row r="40" ht="40.5" customHeight="1">
      <c r="A40" s="17"/>
      <c r="B40" s="14"/>
      <c r="C40" s="116"/>
      <c r="D40" s="14"/>
      <c r="F40" s="35"/>
      <c r="G40" s="14"/>
      <c r="H40" s="35"/>
      <c r="I40" s="42" t="s">
        <v>118</v>
      </c>
      <c r="J40" s="5"/>
      <c r="K40" s="5"/>
      <c r="L40" s="5"/>
      <c r="M40" s="5"/>
      <c r="N40" s="5"/>
      <c r="O40" s="5"/>
      <c r="P40" s="7"/>
      <c r="Q40" s="142" t="s">
        <v>119</v>
      </c>
      <c r="R40" s="7"/>
      <c r="S40" s="120"/>
      <c r="T40" s="17"/>
      <c r="U40" s="17"/>
      <c r="V40" s="17"/>
      <c r="W40" s="17"/>
      <c r="X40" s="17"/>
      <c r="Y40" s="17"/>
      <c r="Z40" s="17"/>
    </row>
    <row r="41" ht="46.5" customHeight="1">
      <c r="A41" s="17"/>
      <c r="B41" s="14"/>
      <c r="C41" s="116"/>
      <c r="D41" s="14"/>
      <c r="F41" s="35"/>
      <c r="G41" s="14"/>
      <c r="H41" s="35"/>
      <c r="I41" s="143" t="s">
        <v>120</v>
      </c>
      <c r="J41" s="5"/>
      <c r="K41" s="5"/>
      <c r="L41" s="7"/>
      <c r="M41" s="144" t="s">
        <v>121</v>
      </c>
      <c r="N41" s="5"/>
      <c r="O41" s="5"/>
      <c r="P41" s="7"/>
      <c r="Q41" s="141" t="s">
        <v>122</v>
      </c>
      <c r="R41" s="145" t="s">
        <v>123</v>
      </c>
      <c r="S41" s="120"/>
      <c r="T41" s="17"/>
      <c r="U41" s="17"/>
      <c r="V41" s="17"/>
      <c r="W41" s="17"/>
      <c r="X41" s="17"/>
      <c r="Y41" s="17"/>
      <c r="Z41" s="17"/>
    </row>
    <row r="42" ht="12.0" customHeight="1">
      <c r="A42" s="17"/>
      <c r="B42" s="43"/>
      <c r="C42" s="128"/>
      <c r="D42" s="43"/>
      <c r="E42" s="44"/>
      <c r="F42" s="45"/>
      <c r="G42" s="43"/>
      <c r="H42" s="45"/>
      <c r="I42" s="147" t="s">
        <v>124</v>
      </c>
      <c r="J42" s="147" t="s">
        <v>125</v>
      </c>
      <c r="K42" s="147" t="s">
        <v>126</v>
      </c>
      <c r="L42" s="147" t="s">
        <v>127</v>
      </c>
      <c r="M42" s="147" t="s">
        <v>124</v>
      </c>
      <c r="N42" s="147" t="s">
        <v>125</v>
      </c>
      <c r="O42" s="147" t="s">
        <v>126</v>
      </c>
      <c r="P42" s="147" t="s">
        <v>127</v>
      </c>
      <c r="Q42" s="132"/>
      <c r="R42" s="132"/>
      <c r="S42" s="132"/>
      <c r="T42" s="17"/>
      <c r="U42" s="17"/>
      <c r="V42" s="17"/>
      <c r="W42" s="17"/>
      <c r="X42" s="17"/>
      <c r="Y42" s="17"/>
      <c r="Z42" s="17"/>
    </row>
    <row r="43" ht="19.5" customHeight="1">
      <c r="A43" s="17"/>
      <c r="B43" s="148" t="s">
        <v>128</v>
      </c>
      <c r="C43" s="7"/>
      <c r="D43" s="148"/>
      <c r="E43" s="5"/>
      <c r="F43" s="7"/>
      <c r="G43" s="148"/>
      <c r="H43" s="7"/>
      <c r="I43" s="149"/>
      <c r="J43" s="149"/>
      <c r="K43" s="150"/>
      <c r="L43" s="150"/>
      <c r="M43" s="150">
        <v>3.0</v>
      </c>
      <c r="N43" s="150"/>
      <c r="O43" s="150"/>
      <c r="P43" s="150"/>
      <c r="Q43" s="149">
        <v>5.0</v>
      </c>
      <c r="R43" s="149">
        <v>5.0</v>
      </c>
      <c r="S43" s="149">
        <f t="shared" ref="S43:S57" si="1">SUM(I43:R43)</f>
        <v>13</v>
      </c>
      <c r="T43" s="17"/>
      <c r="U43" s="17"/>
      <c r="V43" s="17"/>
      <c r="W43" s="17"/>
      <c r="X43" s="17"/>
      <c r="Y43" s="17"/>
      <c r="Z43" s="17"/>
    </row>
    <row r="44" ht="19.5" customHeight="1">
      <c r="A44" s="17"/>
      <c r="B44" s="148" t="s">
        <v>131</v>
      </c>
      <c r="C44" s="7"/>
      <c r="D44" s="148"/>
      <c r="E44" s="5"/>
      <c r="F44" s="7"/>
      <c r="G44" s="148"/>
      <c r="H44" s="7"/>
      <c r="I44" s="149"/>
      <c r="J44" s="149"/>
      <c r="K44" s="150"/>
      <c r="L44" s="150"/>
      <c r="M44" s="150">
        <v>3.0</v>
      </c>
      <c r="N44" s="150"/>
      <c r="O44" s="150"/>
      <c r="P44" s="150"/>
      <c r="Q44" s="149"/>
      <c r="R44" s="149"/>
      <c r="S44" s="149">
        <f t="shared" si="1"/>
        <v>3</v>
      </c>
      <c r="T44" s="17"/>
      <c r="U44" s="17"/>
      <c r="V44" s="17"/>
      <c r="W44" s="17"/>
      <c r="X44" s="17"/>
      <c r="Y44" s="17"/>
      <c r="Z44" s="17"/>
    </row>
    <row r="45" ht="19.5" customHeight="1">
      <c r="A45" s="17"/>
      <c r="B45" s="148" t="s">
        <v>132</v>
      </c>
      <c r="C45" s="7"/>
      <c r="D45" s="148"/>
      <c r="E45" s="5"/>
      <c r="F45" s="7"/>
      <c r="G45" s="148"/>
      <c r="H45" s="7"/>
      <c r="I45" s="149">
        <v>2.0</v>
      </c>
      <c r="J45" s="149"/>
      <c r="K45" s="150">
        <v>1.0</v>
      </c>
      <c r="L45" s="150"/>
      <c r="M45" s="150"/>
      <c r="N45" s="150"/>
      <c r="O45" s="150"/>
      <c r="P45" s="150"/>
      <c r="Q45" s="149">
        <v>5.0</v>
      </c>
      <c r="R45" s="149">
        <v>5.0</v>
      </c>
      <c r="S45" s="149">
        <f t="shared" si="1"/>
        <v>13</v>
      </c>
      <c r="T45" s="17"/>
      <c r="U45" s="17"/>
      <c r="V45" s="17"/>
      <c r="W45" s="17"/>
      <c r="X45" s="17"/>
      <c r="Y45" s="17"/>
      <c r="Z45" s="17"/>
    </row>
    <row r="46" ht="19.5" customHeight="1">
      <c r="A46" s="17"/>
      <c r="B46" s="148" t="s">
        <v>134</v>
      </c>
      <c r="C46" s="7"/>
      <c r="D46" s="148"/>
      <c r="E46" s="5"/>
      <c r="F46" s="7"/>
      <c r="G46" s="148"/>
      <c r="H46" s="7"/>
      <c r="I46" s="149">
        <v>2.0</v>
      </c>
      <c r="J46" s="149"/>
      <c r="K46" s="150">
        <v>1.0</v>
      </c>
      <c r="L46" s="150"/>
      <c r="M46" s="150"/>
      <c r="N46" s="150"/>
      <c r="O46" s="150"/>
      <c r="P46" s="150"/>
      <c r="Q46" s="149"/>
      <c r="R46" s="149"/>
      <c r="S46" s="149">
        <f t="shared" si="1"/>
        <v>3</v>
      </c>
      <c r="T46" s="17"/>
      <c r="U46" s="17"/>
      <c r="V46" s="17"/>
      <c r="W46" s="17"/>
      <c r="X46" s="17"/>
      <c r="Y46" s="17"/>
      <c r="Z46" s="17"/>
    </row>
    <row r="47" ht="19.5" customHeight="1">
      <c r="A47" s="17"/>
      <c r="B47" s="148" t="s">
        <v>135</v>
      </c>
      <c r="C47" s="7"/>
      <c r="D47" s="148"/>
      <c r="E47" s="5"/>
      <c r="F47" s="7"/>
      <c r="G47" s="148"/>
      <c r="H47" s="7"/>
      <c r="I47" s="149"/>
      <c r="J47" s="149"/>
      <c r="K47" s="150"/>
      <c r="L47" s="150"/>
      <c r="M47" s="150">
        <v>3.0</v>
      </c>
      <c r="N47" s="150"/>
      <c r="O47" s="150"/>
      <c r="P47" s="150"/>
      <c r="Q47" s="149">
        <v>5.0</v>
      </c>
      <c r="R47" s="149">
        <v>5.0</v>
      </c>
      <c r="S47" s="149">
        <f t="shared" si="1"/>
        <v>13</v>
      </c>
      <c r="T47" s="17"/>
      <c r="U47" s="17"/>
      <c r="V47" s="17"/>
      <c r="W47" s="17"/>
      <c r="X47" s="17"/>
      <c r="Y47" s="17"/>
      <c r="Z47" s="17"/>
    </row>
    <row r="48" ht="19.5" customHeight="1">
      <c r="A48" s="17"/>
      <c r="B48" s="148" t="s">
        <v>136</v>
      </c>
      <c r="C48" s="7"/>
      <c r="D48" s="148"/>
      <c r="E48" s="5"/>
      <c r="F48" s="7"/>
      <c r="G48" s="148"/>
      <c r="H48" s="7"/>
      <c r="I48" s="149">
        <v>3.0</v>
      </c>
      <c r="J48" s="149"/>
      <c r="K48" s="150"/>
      <c r="L48" s="150"/>
      <c r="M48" s="150"/>
      <c r="N48" s="150"/>
      <c r="O48" s="150"/>
      <c r="P48" s="150"/>
      <c r="Q48" s="149"/>
      <c r="R48" s="149"/>
      <c r="S48" s="149">
        <f t="shared" si="1"/>
        <v>3</v>
      </c>
      <c r="T48" s="17"/>
      <c r="U48" s="17"/>
      <c r="V48" s="17"/>
      <c r="W48" s="17"/>
      <c r="X48" s="17"/>
      <c r="Y48" s="17"/>
      <c r="Z48" s="17"/>
    </row>
    <row r="49" ht="19.5" customHeight="1">
      <c r="A49" s="17"/>
      <c r="B49" s="148" t="s">
        <v>137</v>
      </c>
      <c r="C49" s="7"/>
      <c r="D49" s="148"/>
      <c r="E49" s="5"/>
      <c r="F49" s="7"/>
      <c r="G49" s="148"/>
      <c r="H49" s="7"/>
      <c r="I49" s="149">
        <v>3.0</v>
      </c>
      <c r="J49" s="149"/>
      <c r="K49" s="150"/>
      <c r="L49" s="150"/>
      <c r="M49" s="150"/>
      <c r="N49" s="150"/>
      <c r="O49" s="150"/>
      <c r="P49" s="150"/>
      <c r="Q49" s="149"/>
      <c r="R49" s="149">
        <v>10.0</v>
      </c>
      <c r="S49" s="149">
        <f t="shared" si="1"/>
        <v>13</v>
      </c>
      <c r="T49" s="17"/>
      <c r="U49" s="17"/>
      <c r="V49" s="17"/>
      <c r="W49" s="17"/>
      <c r="X49" s="17"/>
      <c r="Y49" s="17"/>
      <c r="Z49" s="17"/>
    </row>
    <row r="50" ht="19.5" customHeight="1">
      <c r="A50" s="17"/>
      <c r="B50" s="148" t="s">
        <v>138</v>
      </c>
      <c r="C50" s="7"/>
      <c r="D50" s="148"/>
      <c r="E50" s="5"/>
      <c r="F50" s="7"/>
      <c r="G50" s="148"/>
      <c r="H50" s="7"/>
      <c r="I50" s="149">
        <v>3.0</v>
      </c>
      <c r="J50" s="149"/>
      <c r="K50" s="150"/>
      <c r="L50" s="150"/>
      <c r="M50" s="150"/>
      <c r="N50" s="150"/>
      <c r="O50" s="150"/>
      <c r="P50" s="150"/>
      <c r="Q50" s="149"/>
      <c r="R50" s="149">
        <v>10.0</v>
      </c>
      <c r="S50" s="149">
        <f t="shared" si="1"/>
        <v>13</v>
      </c>
      <c r="T50" s="17"/>
      <c r="U50" s="17"/>
      <c r="V50" s="17"/>
      <c r="W50" s="17"/>
      <c r="X50" s="17"/>
      <c r="Y50" s="17"/>
      <c r="Z50" s="17"/>
    </row>
    <row r="51" ht="19.5" customHeight="1">
      <c r="A51" s="17"/>
      <c r="B51" s="148" t="s">
        <v>140</v>
      </c>
      <c r="C51" s="7"/>
      <c r="D51" s="148"/>
      <c r="E51" s="5"/>
      <c r="F51" s="7"/>
      <c r="G51" s="148"/>
      <c r="H51" s="7"/>
      <c r="I51" s="149">
        <v>3.0</v>
      </c>
      <c r="J51" s="149"/>
      <c r="K51" s="150"/>
      <c r="L51" s="150"/>
      <c r="M51" s="150"/>
      <c r="N51" s="150"/>
      <c r="O51" s="150"/>
      <c r="P51" s="150"/>
      <c r="Q51" s="149"/>
      <c r="R51" s="149"/>
      <c r="S51" s="149">
        <f t="shared" si="1"/>
        <v>3</v>
      </c>
      <c r="T51" s="17"/>
      <c r="U51" s="17"/>
      <c r="V51" s="17"/>
      <c r="W51" s="17"/>
      <c r="X51" s="17"/>
      <c r="Y51" s="17"/>
      <c r="Z51" s="17"/>
    </row>
    <row r="52" ht="19.5" customHeight="1">
      <c r="A52" s="17"/>
      <c r="B52" s="148" t="s">
        <v>141</v>
      </c>
      <c r="C52" s="7"/>
      <c r="D52" s="148"/>
      <c r="E52" s="5"/>
      <c r="F52" s="7"/>
      <c r="G52" s="148"/>
      <c r="H52" s="7"/>
      <c r="I52" s="149">
        <v>3.0</v>
      </c>
      <c r="J52" s="149"/>
      <c r="K52" s="150"/>
      <c r="L52" s="150"/>
      <c r="M52" s="150"/>
      <c r="N52" s="150"/>
      <c r="O52" s="150"/>
      <c r="P52" s="150"/>
      <c r="Q52" s="149"/>
      <c r="R52" s="149"/>
      <c r="S52" s="149">
        <f t="shared" si="1"/>
        <v>3</v>
      </c>
      <c r="T52" s="17"/>
      <c r="U52" s="17"/>
      <c r="V52" s="17"/>
      <c r="W52" s="17"/>
      <c r="X52" s="17"/>
      <c r="Y52" s="17"/>
      <c r="Z52" s="17"/>
    </row>
    <row r="53" ht="19.5" customHeight="1">
      <c r="A53" s="17"/>
      <c r="B53" s="148" t="s">
        <v>142</v>
      </c>
      <c r="C53" s="7"/>
      <c r="D53" s="148"/>
      <c r="E53" s="5"/>
      <c r="F53" s="7"/>
      <c r="G53" s="148"/>
      <c r="H53" s="7"/>
      <c r="I53" s="149">
        <v>3.0</v>
      </c>
      <c r="J53" s="149"/>
      <c r="K53" s="150"/>
      <c r="L53" s="150"/>
      <c r="M53" s="150"/>
      <c r="N53" s="150"/>
      <c r="O53" s="150"/>
      <c r="P53" s="150"/>
      <c r="Q53" s="149"/>
      <c r="R53" s="149"/>
      <c r="S53" s="149">
        <f t="shared" si="1"/>
        <v>3</v>
      </c>
      <c r="T53" s="17"/>
      <c r="U53" s="17"/>
      <c r="V53" s="17"/>
      <c r="W53" s="17"/>
      <c r="X53" s="17"/>
      <c r="Y53" s="17"/>
      <c r="Z53" s="17"/>
    </row>
    <row r="54" ht="19.5" customHeight="1">
      <c r="A54" s="17"/>
      <c r="B54" s="148" t="s">
        <v>143</v>
      </c>
      <c r="C54" s="7"/>
      <c r="D54" s="148"/>
      <c r="E54" s="5"/>
      <c r="F54" s="7"/>
      <c r="G54" s="148"/>
      <c r="H54" s="7"/>
      <c r="I54" s="149">
        <v>3.0</v>
      </c>
      <c r="J54" s="149"/>
      <c r="K54" s="150"/>
      <c r="L54" s="150"/>
      <c r="M54" s="150"/>
      <c r="N54" s="150"/>
      <c r="O54" s="150"/>
      <c r="P54" s="150"/>
      <c r="Q54" s="149"/>
      <c r="R54" s="149"/>
      <c r="S54" s="149">
        <f t="shared" si="1"/>
        <v>3</v>
      </c>
      <c r="T54" s="17"/>
      <c r="U54" s="17"/>
      <c r="V54" s="17"/>
      <c r="W54" s="17"/>
      <c r="X54" s="17"/>
      <c r="Y54" s="17"/>
      <c r="Z54" s="17"/>
    </row>
    <row r="55" ht="19.5" customHeight="1">
      <c r="A55" s="17"/>
      <c r="B55" s="148" t="s">
        <v>144</v>
      </c>
      <c r="C55" s="7"/>
      <c r="D55" s="148"/>
      <c r="E55" s="5"/>
      <c r="F55" s="7"/>
      <c r="G55" s="148"/>
      <c r="H55" s="7"/>
      <c r="I55" s="149">
        <v>3.0</v>
      </c>
      <c r="J55" s="149"/>
      <c r="K55" s="150"/>
      <c r="L55" s="150"/>
      <c r="M55" s="150"/>
      <c r="N55" s="150"/>
      <c r="O55" s="150"/>
      <c r="P55" s="150"/>
      <c r="Q55" s="149"/>
      <c r="R55" s="149"/>
      <c r="S55" s="149">
        <f t="shared" si="1"/>
        <v>3</v>
      </c>
      <c r="T55" s="17"/>
      <c r="U55" s="17"/>
      <c r="V55" s="17"/>
      <c r="W55" s="17"/>
      <c r="X55" s="17"/>
      <c r="Y55" s="17"/>
      <c r="Z55" s="17"/>
    </row>
    <row r="56" ht="19.5" customHeight="1">
      <c r="A56" s="17"/>
      <c r="B56" s="148" t="s">
        <v>145</v>
      </c>
      <c r="C56" s="7"/>
      <c r="D56" s="148"/>
      <c r="E56" s="5"/>
      <c r="F56" s="7"/>
      <c r="G56" s="148"/>
      <c r="H56" s="7"/>
      <c r="I56" s="149">
        <v>3.0</v>
      </c>
      <c r="J56" s="149"/>
      <c r="K56" s="150"/>
      <c r="L56" s="150"/>
      <c r="M56" s="150"/>
      <c r="N56" s="150"/>
      <c r="O56" s="150"/>
      <c r="P56" s="150"/>
      <c r="Q56" s="149"/>
      <c r="R56" s="149"/>
      <c r="S56" s="149">
        <f t="shared" si="1"/>
        <v>3</v>
      </c>
      <c r="T56" s="17"/>
      <c r="U56" s="17"/>
      <c r="V56" s="17"/>
      <c r="W56" s="17"/>
      <c r="X56" s="17"/>
      <c r="Y56" s="17"/>
      <c r="Z56" s="17"/>
    </row>
    <row r="57" ht="19.5" customHeight="1">
      <c r="A57" s="17"/>
      <c r="B57" s="148" t="s">
        <v>146</v>
      </c>
      <c r="C57" s="7"/>
      <c r="D57" s="148"/>
      <c r="E57" s="5"/>
      <c r="F57" s="7"/>
      <c r="G57" s="148"/>
      <c r="H57" s="7"/>
      <c r="I57" s="149"/>
      <c r="J57" s="149"/>
      <c r="K57" s="150"/>
      <c r="L57" s="150"/>
      <c r="M57" s="150"/>
      <c r="N57" s="150"/>
      <c r="O57" s="150"/>
      <c r="P57" s="178"/>
      <c r="Q57" s="149"/>
      <c r="R57" s="149"/>
      <c r="S57" s="149">
        <f t="shared" si="1"/>
        <v>0</v>
      </c>
      <c r="T57" s="17"/>
      <c r="U57" s="17"/>
      <c r="V57" s="17"/>
      <c r="W57" s="17"/>
      <c r="X57" s="17"/>
      <c r="Y57" s="17"/>
      <c r="Z57" s="17"/>
    </row>
    <row r="58" ht="12.0" customHeight="1">
      <c r="A58" s="17"/>
      <c r="B58" s="17"/>
      <c r="C58" s="17"/>
      <c r="D58" s="17"/>
      <c r="E58" s="17"/>
      <c r="F58" s="17"/>
      <c r="G58" s="17"/>
      <c r="H58" s="17"/>
      <c r="I58" s="17"/>
      <c r="J58" s="17"/>
      <c r="K58" s="17"/>
      <c r="L58" s="17"/>
      <c r="M58" s="17"/>
      <c r="N58" s="17"/>
      <c r="O58" s="17"/>
      <c r="P58" s="17"/>
      <c r="Q58" s="182" t="s">
        <v>147</v>
      </c>
      <c r="R58" s="7"/>
      <c r="S58" s="184">
        <f>SUM(S43:S57)</f>
        <v>92</v>
      </c>
      <c r="T58" s="17"/>
      <c r="U58" s="17"/>
      <c r="V58" s="17"/>
      <c r="W58" s="17"/>
      <c r="X58" s="17"/>
      <c r="Y58" s="17"/>
      <c r="Z58" s="17"/>
    </row>
    <row r="59" ht="12.0" customHeight="1">
      <c r="A59" s="17"/>
      <c r="B59" s="17"/>
      <c r="C59" s="17"/>
      <c r="D59" s="17"/>
      <c r="E59" s="17"/>
      <c r="F59" s="17"/>
      <c r="G59" s="17"/>
      <c r="H59" s="17"/>
      <c r="I59" s="17"/>
      <c r="J59" s="17"/>
      <c r="K59" s="17"/>
      <c r="L59" s="17"/>
      <c r="M59" s="17"/>
      <c r="N59" s="17"/>
      <c r="O59" s="17"/>
      <c r="P59" s="17"/>
      <c r="Q59" s="185"/>
      <c r="R59" s="185"/>
      <c r="S59" s="186"/>
      <c r="T59" s="17"/>
      <c r="U59" s="17"/>
      <c r="V59" s="17"/>
      <c r="W59" s="17"/>
      <c r="X59" s="17"/>
      <c r="Y59" s="17"/>
      <c r="Z59" s="17"/>
    </row>
    <row r="60" ht="64.5" customHeight="1">
      <c r="A60" s="17"/>
      <c r="B60" s="139" t="s">
        <v>148</v>
      </c>
      <c r="C60" s="28"/>
      <c r="D60" s="28"/>
      <c r="E60" s="28"/>
      <c r="F60" s="28"/>
      <c r="G60" s="28"/>
      <c r="H60" s="31"/>
      <c r="I60" s="139" t="s">
        <v>149</v>
      </c>
      <c r="J60" s="31"/>
      <c r="K60" s="140" t="s">
        <v>118</v>
      </c>
      <c r="L60" s="5"/>
      <c r="M60" s="5"/>
      <c r="N60" s="5"/>
      <c r="O60" s="5"/>
      <c r="P60" s="7"/>
      <c r="Q60" s="187" t="s">
        <v>150</v>
      </c>
      <c r="R60" s="159"/>
      <c r="S60" s="141" t="s">
        <v>151</v>
      </c>
      <c r="T60" s="17"/>
      <c r="U60" s="17"/>
      <c r="V60" s="17"/>
      <c r="W60" s="17"/>
      <c r="X60" s="17"/>
      <c r="Y60" s="17"/>
      <c r="Z60" s="17"/>
    </row>
    <row r="61" ht="36.0" customHeight="1">
      <c r="A61" s="17"/>
      <c r="B61" s="14"/>
      <c r="H61" s="35"/>
      <c r="I61" s="14"/>
      <c r="J61" s="35"/>
      <c r="K61" s="163" t="s">
        <v>120</v>
      </c>
      <c r="L61" s="28"/>
      <c r="M61" s="113"/>
      <c r="N61" s="164" t="s">
        <v>153</v>
      </c>
      <c r="O61" s="28"/>
      <c r="P61" s="31"/>
      <c r="Q61" s="165" t="s">
        <v>122</v>
      </c>
      <c r="R61" s="166" t="s">
        <v>123</v>
      </c>
      <c r="S61" s="120"/>
      <c r="T61" s="17"/>
      <c r="U61" s="17"/>
      <c r="V61" s="17"/>
      <c r="W61" s="17"/>
      <c r="X61" s="17"/>
      <c r="Y61" s="17"/>
      <c r="Z61" s="17"/>
    </row>
    <row r="62" ht="35.25" customHeight="1">
      <c r="A62" s="17"/>
      <c r="B62" s="43"/>
      <c r="C62" s="44"/>
      <c r="D62" s="44"/>
      <c r="E62" s="44"/>
      <c r="F62" s="44"/>
      <c r="G62" s="44"/>
      <c r="H62" s="45"/>
      <c r="I62" s="43"/>
      <c r="J62" s="45"/>
      <c r="K62" s="43"/>
      <c r="L62" s="44"/>
      <c r="M62" s="128"/>
      <c r="N62" s="43"/>
      <c r="O62" s="44"/>
      <c r="P62" s="45"/>
      <c r="Q62" s="167"/>
      <c r="R62" s="132"/>
      <c r="S62" s="132"/>
      <c r="T62" s="17"/>
      <c r="U62" s="17"/>
      <c r="V62" s="17"/>
      <c r="W62" s="17"/>
      <c r="X62" s="17"/>
      <c r="Y62" s="17"/>
      <c r="Z62" s="17"/>
    </row>
    <row r="63" ht="18.75" customHeight="1">
      <c r="A63" s="17"/>
      <c r="B63" s="150">
        <v>1.0</v>
      </c>
      <c r="C63" s="135"/>
      <c r="D63" s="5"/>
      <c r="E63" s="5"/>
      <c r="F63" s="5"/>
      <c r="G63" s="5"/>
      <c r="H63" s="7"/>
      <c r="I63" s="57"/>
      <c r="J63" s="7"/>
      <c r="K63" s="57"/>
      <c r="L63" s="5"/>
      <c r="M63" s="7"/>
      <c r="N63" s="57"/>
      <c r="O63" s="5"/>
      <c r="P63" s="7"/>
      <c r="Q63" s="188"/>
      <c r="R63" s="189"/>
      <c r="S63" s="190">
        <f t="shared" ref="S63:S67" si="2">SUM(K63:R63)</f>
        <v>0</v>
      </c>
      <c r="T63" s="17"/>
      <c r="U63" s="17"/>
      <c r="V63" s="17"/>
      <c r="W63" s="17"/>
      <c r="X63" s="17"/>
      <c r="Y63" s="17"/>
      <c r="Z63" s="17"/>
    </row>
    <row r="64" ht="18.75" customHeight="1">
      <c r="A64" s="17"/>
      <c r="B64" s="150">
        <v>2.0</v>
      </c>
      <c r="C64" s="135"/>
      <c r="D64" s="5"/>
      <c r="E64" s="5"/>
      <c r="F64" s="5"/>
      <c r="G64" s="5"/>
      <c r="H64" s="7"/>
      <c r="I64" s="57"/>
      <c r="J64" s="7"/>
      <c r="K64" s="57"/>
      <c r="L64" s="5"/>
      <c r="M64" s="7"/>
      <c r="N64" s="57"/>
      <c r="O64" s="5"/>
      <c r="P64" s="7"/>
      <c r="Q64" s="188"/>
      <c r="R64" s="188"/>
      <c r="S64" s="190">
        <f t="shared" si="2"/>
        <v>0</v>
      </c>
      <c r="T64" s="17"/>
      <c r="U64" s="17"/>
      <c r="V64" s="17"/>
      <c r="W64" s="17"/>
      <c r="X64" s="17"/>
      <c r="Y64" s="17"/>
      <c r="Z64" s="17"/>
    </row>
    <row r="65" ht="18.75" customHeight="1">
      <c r="A65" s="17"/>
      <c r="B65" s="150">
        <v>3.0</v>
      </c>
      <c r="C65" s="135"/>
      <c r="D65" s="5"/>
      <c r="E65" s="5"/>
      <c r="F65" s="5"/>
      <c r="G65" s="5"/>
      <c r="H65" s="7"/>
      <c r="I65" s="57"/>
      <c r="J65" s="7"/>
      <c r="K65" s="57"/>
      <c r="L65" s="5"/>
      <c r="M65" s="7"/>
      <c r="N65" s="57"/>
      <c r="O65" s="5"/>
      <c r="P65" s="7"/>
      <c r="Q65" s="188"/>
      <c r="R65" s="188"/>
      <c r="S65" s="190">
        <f t="shared" si="2"/>
        <v>0</v>
      </c>
      <c r="T65" s="17"/>
      <c r="U65" s="17"/>
      <c r="V65" s="17"/>
      <c r="W65" s="17"/>
      <c r="X65" s="17"/>
      <c r="Y65" s="17"/>
      <c r="Z65" s="17"/>
    </row>
    <row r="66" ht="18.75" customHeight="1">
      <c r="A66" s="17"/>
      <c r="B66" s="150">
        <v>4.0</v>
      </c>
      <c r="C66" s="135"/>
      <c r="D66" s="5"/>
      <c r="E66" s="5"/>
      <c r="F66" s="5"/>
      <c r="G66" s="5"/>
      <c r="H66" s="7"/>
      <c r="I66" s="57"/>
      <c r="J66" s="7"/>
      <c r="K66" s="57"/>
      <c r="L66" s="5"/>
      <c r="M66" s="7"/>
      <c r="N66" s="57"/>
      <c r="O66" s="5"/>
      <c r="P66" s="7"/>
      <c r="Q66" s="188"/>
      <c r="R66" s="188"/>
      <c r="S66" s="190">
        <f t="shared" si="2"/>
        <v>0</v>
      </c>
      <c r="T66" s="17"/>
      <c r="U66" s="17"/>
      <c r="V66" s="17"/>
      <c r="W66" s="17"/>
      <c r="X66" s="17"/>
      <c r="Y66" s="17"/>
      <c r="Z66" s="17"/>
    </row>
    <row r="67" ht="18.75" customHeight="1">
      <c r="A67" s="17"/>
      <c r="B67" s="150">
        <v>5.0</v>
      </c>
      <c r="C67" s="135"/>
      <c r="D67" s="5"/>
      <c r="E67" s="5"/>
      <c r="F67" s="5"/>
      <c r="G67" s="5"/>
      <c r="H67" s="7"/>
      <c r="I67" s="57"/>
      <c r="J67" s="7"/>
      <c r="K67" s="57"/>
      <c r="L67" s="5"/>
      <c r="M67" s="7"/>
      <c r="N67" s="57"/>
      <c r="O67" s="5"/>
      <c r="P67" s="7"/>
      <c r="Q67" s="188"/>
      <c r="R67" s="188"/>
      <c r="S67" s="190">
        <f t="shared" si="2"/>
        <v>0</v>
      </c>
      <c r="T67" s="17"/>
      <c r="U67" s="17"/>
      <c r="V67" s="17"/>
      <c r="W67" s="17"/>
      <c r="X67" s="17"/>
      <c r="Y67" s="17"/>
      <c r="Z67" s="17"/>
    </row>
    <row r="68" ht="18.75" customHeight="1">
      <c r="A68" s="17"/>
      <c r="B68" s="17"/>
      <c r="C68" s="90"/>
      <c r="D68" s="90"/>
      <c r="E68" s="90"/>
      <c r="F68" s="90"/>
      <c r="G68" s="90"/>
      <c r="H68" s="90"/>
      <c r="I68" s="90"/>
      <c r="J68" s="90"/>
      <c r="K68" s="90"/>
      <c r="L68" s="90"/>
      <c r="M68" s="90"/>
      <c r="N68" s="90"/>
      <c r="O68" s="90"/>
      <c r="P68" s="90"/>
      <c r="Q68" s="195" t="s">
        <v>147</v>
      </c>
      <c r="R68" s="7"/>
      <c r="S68" s="196">
        <f>SUM(S63:S67)</f>
        <v>0</v>
      </c>
      <c r="T68" s="17"/>
      <c r="U68" s="17"/>
      <c r="V68" s="17"/>
      <c r="W68" s="17"/>
      <c r="X68" s="17"/>
      <c r="Y68" s="17"/>
      <c r="Z68" s="17"/>
    </row>
    <row r="69" ht="18.75" customHeight="1">
      <c r="A69" s="17"/>
      <c r="B69" s="17"/>
      <c r="C69" s="17"/>
      <c r="D69" s="17"/>
      <c r="E69" s="17"/>
      <c r="F69" s="17"/>
      <c r="G69" s="17"/>
      <c r="H69" s="17"/>
      <c r="I69" s="17"/>
      <c r="J69" s="17"/>
      <c r="K69" s="17"/>
      <c r="L69" s="17"/>
      <c r="M69" s="17"/>
      <c r="N69" s="17"/>
      <c r="O69" s="17"/>
      <c r="P69" s="17"/>
      <c r="Q69" s="197"/>
      <c r="R69" s="197"/>
      <c r="S69" s="17"/>
      <c r="T69" s="17"/>
      <c r="U69" s="17"/>
      <c r="V69" s="17"/>
      <c r="W69" s="17"/>
      <c r="X69" s="17"/>
      <c r="Y69" s="17"/>
      <c r="Z69" s="17"/>
    </row>
    <row r="70" ht="33.75" customHeight="1">
      <c r="A70" s="17"/>
      <c r="B70" s="139" t="s">
        <v>168</v>
      </c>
      <c r="C70" s="28"/>
      <c r="D70" s="28"/>
      <c r="E70" s="28"/>
      <c r="F70" s="28"/>
      <c r="G70" s="28"/>
      <c r="H70" s="31"/>
      <c r="I70" s="139" t="s">
        <v>149</v>
      </c>
      <c r="J70" s="31"/>
      <c r="K70" s="140" t="s">
        <v>118</v>
      </c>
      <c r="L70" s="5"/>
      <c r="M70" s="5"/>
      <c r="N70" s="5"/>
      <c r="O70" s="5"/>
      <c r="P70" s="7"/>
      <c r="Q70" s="187" t="s">
        <v>159</v>
      </c>
      <c r="R70" s="159"/>
      <c r="S70" s="198" t="s">
        <v>151</v>
      </c>
      <c r="T70" s="17"/>
      <c r="U70" s="17"/>
      <c r="V70" s="17"/>
      <c r="W70" s="17"/>
      <c r="X70" s="17"/>
      <c r="Y70" s="17"/>
      <c r="Z70" s="17"/>
    </row>
    <row r="71" ht="18.75" customHeight="1">
      <c r="A71" s="17"/>
      <c r="B71" s="14"/>
      <c r="H71" s="35"/>
      <c r="I71" s="14"/>
      <c r="J71" s="35"/>
      <c r="K71" s="163" t="s">
        <v>120</v>
      </c>
      <c r="L71" s="28"/>
      <c r="M71" s="31"/>
      <c r="N71" s="164" t="s">
        <v>153</v>
      </c>
      <c r="O71" s="28"/>
      <c r="P71" s="31"/>
      <c r="Q71" s="165" t="s">
        <v>122</v>
      </c>
      <c r="R71" s="200" t="s">
        <v>123</v>
      </c>
      <c r="S71" s="181"/>
      <c r="T71" s="17"/>
      <c r="U71" s="17"/>
      <c r="V71" s="17"/>
      <c r="W71" s="17"/>
      <c r="X71" s="17"/>
      <c r="Y71" s="17"/>
      <c r="Z71" s="17"/>
    </row>
    <row r="72" ht="48.0" customHeight="1">
      <c r="A72" s="17"/>
      <c r="B72" s="43"/>
      <c r="C72" s="44"/>
      <c r="D72" s="44"/>
      <c r="E72" s="44"/>
      <c r="F72" s="44"/>
      <c r="G72" s="44"/>
      <c r="H72" s="45"/>
      <c r="I72" s="43"/>
      <c r="J72" s="45"/>
      <c r="K72" s="43"/>
      <c r="L72" s="44"/>
      <c r="M72" s="45"/>
      <c r="N72" s="43"/>
      <c r="O72" s="44"/>
      <c r="P72" s="45"/>
      <c r="Q72" s="167"/>
      <c r="R72" s="132"/>
      <c r="S72" s="183"/>
      <c r="T72" s="17"/>
      <c r="U72" s="17"/>
      <c r="V72" s="17"/>
      <c r="W72" s="17"/>
      <c r="X72" s="17"/>
      <c r="Y72" s="17"/>
      <c r="Z72" s="17"/>
    </row>
    <row r="73" ht="18.75" customHeight="1">
      <c r="A73" s="17"/>
      <c r="B73" s="150">
        <v>1.0</v>
      </c>
      <c r="C73" s="135"/>
      <c r="D73" s="5"/>
      <c r="E73" s="5"/>
      <c r="F73" s="5"/>
      <c r="G73" s="5"/>
      <c r="H73" s="7"/>
      <c r="I73" s="148"/>
      <c r="J73" s="7"/>
      <c r="K73" s="57"/>
      <c r="L73" s="5"/>
      <c r="M73" s="7"/>
      <c r="N73" s="57"/>
      <c r="O73" s="5"/>
      <c r="P73" s="7"/>
      <c r="Q73" s="149"/>
      <c r="R73" s="202"/>
      <c r="S73" s="203">
        <f>SUM(K73:R73)</f>
        <v>0</v>
      </c>
      <c r="T73" s="17"/>
      <c r="U73" s="17"/>
      <c r="V73" s="17"/>
      <c r="W73" s="17"/>
      <c r="X73" s="17"/>
      <c r="Y73" s="17"/>
      <c r="Z73" s="17"/>
    </row>
    <row r="74" ht="18.75" customHeight="1">
      <c r="A74" s="17"/>
      <c r="B74" s="150">
        <v>2.0</v>
      </c>
      <c r="C74" s="135"/>
      <c r="D74" s="5"/>
      <c r="E74" s="5"/>
      <c r="F74" s="5"/>
      <c r="G74" s="5"/>
      <c r="H74" s="7"/>
      <c r="I74" s="148"/>
      <c r="J74" s="7"/>
      <c r="K74" s="57"/>
      <c r="L74" s="5"/>
      <c r="M74" s="7"/>
      <c r="N74" s="57"/>
      <c r="O74" s="5"/>
      <c r="P74" s="7"/>
      <c r="Q74" s="149"/>
      <c r="R74" s="149"/>
      <c r="S74" s="203"/>
      <c r="T74" s="17"/>
      <c r="U74" s="17"/>
      <c r="V74" s="17"/>
      <c r="W74" s="17"/>
      <c r="X74" s="17"/>
      <c r="Y74" s="17"/>
      <c r="Z74" s="17"/>
    </row>
    <row r="75" ht="18.75" customHeight="1">
      <c r="A75" s="17"/>
      <c r="B75" s="150">
        <v>3.0</v>
      </c>
      <c r="C75" s="135"/>
      <c r="D75" s="5"/>
      <c r="E75" s="5"/>
      <c r="F75" s="5"/>
      <c r="G75" s="5"/>
      <c r="H75" s="7"/>
      <c r="I75" s="148"/>
      <c r="J75" s="7"/>
      <c r="K75" s="57"/>
      <c r="L75" s="5"/>
      <c r="M75" s="7"/>
      <c r="N75" s="57"/>
      <c r="O75" s="5"/>
      <c r="P75" s="7"/>
      <c r="Q75" s="149"/>
      <c r="R75" s="149"/>
      <c r="S75" s="203"/>
      <c r="T75" s="17"/>
      <c r="U75" s="17"/>
      <c r="V75" s="17"/>
      <c r="W75" s="17"/>
      <c r="X75" s="17"/>
      <c r="Y75" s="17"/>
      <c r="Z75" s="17"/>
    </row>
    <row r="76" ht="18.75" customHeight="1">
      <c r="A76" s="17"/>
      <c r="B76" s="150">
        <v>4.0</v>
      </c>
      <c r="C76" s="135"/>
      <c r="D76" s="5"/>
      <c r="E76" s="5"/>
      <c r="F76" s="5"/>
      <c r="G76" s="5"/>
      <c r="H76" s="7"/>
      <c r="I76" s="148"/>
      <c r="J76" s="7"/>
      <c r="K76" s="57"/>
      <c r="L76" s="5"/>
      <c r="M76" s="7"/>
      <c r="N76" s="57"/>
      <c r="O76" s="5"/>
      <c r="P76" s="7"/>
      <c r="Q76" s="149"/>
      <c r="R76" s="149"/>
      <c r="S76" s="203"/>
      <c r="T76" s="17"/>
      <c r="U76" s="17"/>
      <c r="V76" s="17"/>
      <c r="W76" s="17"/>
      <c r="X76" s="17"/>
      <c r="Y76" s="17"/>
      <c r="Z76" s="17"/>
    </row>
    <row r="77" ht="18.75" customHeight="1">
      <c r="A77" s="17"/>
      <c r="B77" s="150">
        <v>5.0</v>
      </c>
      <c r="C77" s="135"/>
      <c r="D77" s="5"/>
      <c r="E77" s="5"/>
      <c r="F77" s="5"/>
      <c r="G77" s="5"/>
      <c r="H77" s="7"/>
      <c r="I77" s="148"/>
      <c r="J77" s="7"/>
      <c r="K77" s="57"/>
      <c r="L77" s="5"/>
      <c r="M77" s="7"/>
      <c r="N77" s="57"/>
      <c r="O77" s="5"/>
      <c r="P77" s="7"/>
      <c r="Q77" s="149"/>
      <c r="R77" s="149"/>
      <c r="S77" s="203"/>
      <c r="T77" s="17"/>
      <c r="U77" s="17"/>
      <c r="V77" s="17"/>
      <c r="W77" s="17"/>
      <c r="X77" s="17"/>
      <c r="Y77" s="17"/>
      <c r="Z77" s="17"/>
    </row>
    <row r="78" ht="18.75" customHeight="1">
      <c r="A78" s="17"/>
      <c r="B78" s="17"/>
      <c r="C78" s="17"/>
      <c r="D78" s="17"/>
      <c r="E78" s="17"/>
      <c r="F78" s="17"/>
      <c r="G78" s="17"/>
      <c r="H78" s="17"/>
      <c r="I78" s="17"/>
      <c r="J78" s="17"/>
      <c r="K78" s="17"/>
      <c r="L78" s="17"/>
      <c r="M78" s="17"/>
      <c r="N78" s="17"/>
      <c r="O78" s="17"/>
      <c r="P78" s="17"/>
      <c r="Q78" s="197" t="s">
        <v>147</v>
      </c>
      <c r="S78" s="20">
        <f>SUM(S73:S77)</f>
        <v>0</v>
      </c>
      <c r="T78" s="17"/>
      <c r="U78" s="17"/>
      <c r="V78" s="17"/>
      <c r="W78" s="17"/>
      <c r="X78" s="17"/>
      <c r="Y78" s="17"/>
      <c r="Z78" s="17"/>
    </row>
    <row r="79" ht="18.75" customHeight="1">
      <c r="A79" s="17"/>
      <c r="B79" s="17"/>
      <c r="C79" s="17"/>
      <c r="D79" s="17"/>
      <c r="E79" s="17"/>
      <c r="F79" s="17"/>
      <c r="G79" s="17"/>
      <c r="H79" s="17"/>
      <c r="I79" s="17"/>
      <c r="J79" s="17"/>
      <c r="K79" s="17"/>
      <c r="L79" s="17"/>
      <c r="M79" s="17"/>
      <c r="N79" s="17"/>
      <c r="O79" s="17"/>
      <c r="P79" s="17"/>
      <c r="Q79" s="185" t="s">
        <v>162</v>
      </c>
      <c r="S79" s="20">
        <f>SUM(S73:S77)+SUM(S63:S67)</f>
        <v>0</v>
      </c>
      <c r="T79" s="17"/>
      <c r="U79" s="17"/>
      <c r="V79" s="17"/>
      <c r="W79" s="17"/>
      <c r="X79" s="17"/>
      <c r="Y79" s="17"/>
      <c r="Z79" s="17"/>
    </row>
    <row r="80" ht="18.75" customHeight="1">
      <c r="A80" s="17"/>
      <c r="B80" s="17"/>
      <c r="C80" s="17"/>
      <c r="D80" s="17"/>
      <c r="E80" s="17"/>
      <c r="F80" s="17"/>
      <c r="G80" s="17"/>
      <c r="H80" s="17"/>
      <c r="I80" s="17"/>
      <c r="J80" s="17"/>
      <c r="K80" s="17"/>
      <c r="L80" s="17"/>
      <c r="M80" s="17"/>
      <c r="N80" s="17"/>
      <c r="O80" s="17"/>
      <c r="P80" s="17"/>
      <c r="Q80" s="197" t="s">
        <v>163</v>
      </c>
      <c r="R80" s="197"/>
      <c r="S80" s="20">
        <f>S78+S68+S58</f>
        <v>92</v>
      </c>
      <c r="T80" s="17"/>
      <c r="U80" s="17"/>
      <c r="V80" s="17"/>
      <c r="W80" s="17"/>
      <c r="X80" s="17"/>
      <c r="Y80" s="17"/>
      <c r="Z80" s="17"/>
    </row>
    <row r="81" ht="48.0" customHeight="1">
      <c r="A81" s="17"/>
      <c r="B81" s="212" t="s">
        <v>164</v>
      </c>
      <c r="C81" s="214" t="s">
        <v>187</v>
      </c>
      <c r="D81" s="5"/>
      <c r="E81" s="5"/>
      <c r="F81" s="5"/>
      <c r="G81" s="5"/>
      <c r="H81" s="5"/>
      <c r="I81" s="5"/>
      <c r="J81" s="5"/>
      <c r="K81" s="5"/>
      <c r="L81" s="5"/>
      <c r="M81" s="5"/>
      <c r="N81" s="5"/>
      <c r="O81" s="5"/>
      <c r="P81" s="7"/>
      <c r="Q81" s="218">
        <f>(SUM(I43:L57)+SUM(K63:M67)+SUM(K73:M77))/(SUM(I43:R57)+SUM(K63:R67)+SUM(K73:R77))*100</f>
        <v>35.86956522</v>
      </c>
      <c r="R81" s="5"/>
      <c r="S81" s="7"/>
      <c r="T81" s="17"/>
      <c r="U81" s="17"/>
      <c r="V81" s="17"/>
      <c r="W81" s="17"/>
      <c r="X81" s="17"/>
      <c r="Y81" s="17"/>
      <c r="Z81" s="17"/>
    </row>
    <row r="82" ht="48.0" customHeight="1">
      <c r="A82" s="17"/>
      <c r="B82" s="212" t="s">
        <v>166</v>
      </c>
      <c r="C82" s="214" t="s">
        <v>191</v>
      </c>
      <c r="D82" s="5"/>
      <c r="E82" s="5"/>
      <c r="F82" s="5"/>
      <c r="G82" s="5"/>
      <c r="H82" s="5"/>
      <c r="I82" s="5"/>
      <c r="J82" s="5"/>
      <c r="K82" s="5"/>
      <c r="L82" s="5"/>
      <c r="M82" s="5"/>
      <c r="N82" s="5"/>
      <c r="O82" s="5"/>
      <c r="P82" s="7"/>
      <c r="Q82" s="218">
        <f>(SUM(M43:P57)+SUM(N63:P67)+SUM(N73:P77)+SUM(Q43:R57)+SUM(Q63:R67)+SUM(Q73:R77))/(SUM(I43:R57)+SUM(K63:R67)+SUM(K73:R77))*100</f>
        <v>64.13043478</v>
      </c>
      <c r="R82" s="5"/>
      <c r="S82" s="7"/>
      <c r="T82" s="17"/>
      <c r="U82" s="17"/>
      <c r="V82" s="17"/>
      <c r="W82" s="17"/>
      <c r="X82" s="17"/>
      <c r="Y82" s="17"/>
      <c r="Z82" s="17"/>
    </row>
    <row r="83" ht="46.5" customHeight="1">
      <c r="A83" s="17"/>
      <c r="B83" s="212" t="s">
        <v>169</v>
      </c>
      <c r="C83" s="214" t="s">
        <v>198</v>
      </c>
      <c r="D83" s="5"/>
      <c r="E83" s="5"/>
      <c r="F83" s="5"/>
      <c r="G83" s="5"/>
      <c r="H83" s="5"/>
      <c r="I83" s="5"/>
      <c r="J83" s="5"/>
      <c r="K83" s="5"/>
      <c r="L83" s="5"/>
      <c r="M83" s="5"/>
      <c r="N83" s="5"/>
      <c r="O83" s="5"/>
      <c r="P83" s="7"/>
      <c r="Q83" s="218">
        <f>(SUM(M42:Q56)+SUM(N62:Q66)+SUM(N72:Q76))/S80*100</f>
        <v>26.08695652</v>
      </c>
      <c r="R83" s="5"/>
      <c r="S83" s="7"/>
      <c r="T83" s="17"/>
      <c r="U83" s="17"/>
      <c r="V83" s="17"/>
      <c r="W83" s="17"/>
      <c r="X83" s="17"/>
      <c r="Y83" s="17"/>
      <c r="Z83" s="17"/>
    </row>
    <row r="84" ht="33.75" customHeight="1">
      <c r="A84" s="17"/>
      <c r="B84" s="212" t="s">
        <v>172</v>
      </c>
      <c r="C84" s="214" t="s">
        <v>201</v>
      </c>
      <c r="D84" s="5"/>
      <c r="E84" s="5"/>
      <c r="F84" s="5"/>
      <c r="G84" s="5"/>
      <c r="H84" s="5"/>
      <c r="I84" s="5"/>
      <c r="J84" s="5"/>
      <c r="K84" s="5"/>
      <c r="L84" s="5"/>
      <c r="M84" s="5"/>
      <c r="N84" s="5"/>
      <c r="O84" s="5"/>
      <c r="P84" s="7"/>
      <c r="Q84" s="229">
        <f>Q85+Q86</f>
        <v>2.173913043</v>
      </c>
      <c r="R84" s="5"/>
      <c r="S84" s="7"/>
      <c r="T84" s="17"/>
      <c r="U84" s="17"/>
      <c r="V84" s="17"/>
      <c r="W84" s="17"/>
      <c r="X84" s="17"/>
      <c r="Y84" s="17"/>
      <c r="Z84" s="17"/>
    </row>
    <row r="85" ht="46.5" customHeight="1">
      <c r="A85" s="17"/>
      <c r="B85" s="212" t="s">
        <v>174</v>
      </c>
      <c r="C85" s="214" t="s">
        <v>202</v>
      </c>
      <c r="D85" s="5"/>
      <c r="E85" s="5"/>
      <c r="F85" s="5"/>
      <c r="G85" s="5"/>
      <c r="H85" s="5"/>
      <c r="I85" s="5"/>
      <c r="J85" s="5"/>
      <c r="K85" s="5"/>
      <c r="L85" s="5"/>
      <c r="M85" s="5"/>
      <c r="N85" s="5"/>
      <c r="O85" s="5"/>
      <c r="P85" s="7"/>
      <c r="Q85" s="229">
        <f>(SUM(K43:K57))/(SUM(I43:R57)+SUM(K63:R67)+SUM(K73:R77))*100</f>
        <v>2.173913043</v>
      </c>
      <c r="R85" s="5"/>
      <c r="S85" s="7"/>
      <c r="T85" s="17"/>
      <c r="U85" s="17"/>
      <c r="V85" s="17"/>
      <c r="W85" s="17"/>
      <c r="X85" s="17"/>
      <c r="Y85" s="17"/>
      <c r="Z85" s="17"/>
    </row>
    <row r="86" ht="46.5" customHeight="1">
      <c r="A86" s="17"/>
      <c r="B86" s="212" t="s">
        <v>176</v>
      </c>
      <c r="C86" s="214" t="s">
        <v>203</v>
      </c>
      <c r="D86" s="5"/>
      <c r="E86" s="5"/>
      <c r="F86" s="5"/>
      <c r="G86" s="5"/>
      <c r="H86" s="5"/>
      <c r="I86" s="5"/>
      <c r="J86" s="5"/>
      <c r="K86" s="5"/>
      <c r="L86" s="5"/>
      <c r="M86" s="5"/>
      <c r="N86" s="5"/>
      <c r="O86" s="5"/>
      <c r="P86" s="7"/>
      <c r="Q86" s="229">
        <f>(SUM(O43:O57))/(SUM(I43:R57)+SUM(K63:R67)+SUM(K73:R77))*100</f>
        <v>0</v>
      </c>
      <c r="R86" s="5"/>
      <c r="S86" s="7"/>
      <c r="T86" s="17"/>
      <c r="U86" s="17"/>
      <c r="V86" s="17"/>
      <c r="W86" s="17"/>
      <c r="X86" s="17"/>
      <c r="Y86" s="17"/>
      <c r="Z86" s="17"/>
    </row>
    <row r="87" ht="48.75" customHeight="1">
      <c r="A87" s="17"/>
      <c r="B87" s="97" t="s">
        <v>204</v>
      </c>
      <c r="C87" s="5"/>
      <c r="D87" s="5"/>
      <c r="E87" s="5"/>
      <c r="F87" s="5"/>
      <c r="G87" s="5"/>
      <c r="H87" s="5"/>
      <c r="I87" s="5"/>
      <c r="J87" s="5"/>
      <c r="K87" s="5"/>
      <c r="L87" s="5"/>
      <c r="M87" s="5"/>
      <c r="N87" s="5"/>
      <c r="O87" s="5"/>
      <c r="P87" s="7"/>
      <c r="Q87" s="100"/>
      <c r="R87" s="5"/>
      <c r="S87" s="7"/>
      <c r="T87" s="17"/>
      <c r="U87" s="17"/>
      <c r="V87" s="17"/>
      <c r="W87" s="17"/>
      <c r="X87" s="17"/>
      <c r="Y87" s="17"/>
      <c r="Z87" s="17"/>
    </row>
    <row r="88" ht="12.0" customHeight="1">
      <c r="A88" s="17"/>
      <c r="B88" s="230"/>
      <c r="C88" s="230"/>
      <c r="D88" s="230"/>
      <c r="E88" s="230"/>
      <c r="F88" s="230"/>
      <c r="G88" s="230"/>
      <c r="H88" s="230"/>
      <c r="I88" s="230"/>
      <c r="J88" s="230"/>
      <c r="K88" s="230"/>
      <c r="L88" s="230"/>
      <c r="M88" s="230"/>
      <c r="N88" s="230"/>
      <c r="O88" s="230"/>
      <c r="P88" s="230"/>
      <c r="Q88" s="230"/>
      <c r="R88" s="230"/>
      <c r="S88" s="230"/>
      <c r="T88" s="17"/>
      <c r="U88" s="17"/>
      <c r="V88" s="17"/>
      <c r="W88" s="17"/>
      <c r="X88" s="17"/>
      <c r="Y88" s="17"/>
      <c r="Z88" s="17"/>
    </row>
    <row r="89" ht="30.75" customHeight="1">
      <c r="A89" s="17"/>
      <c r="B89" s="231" t="s">
        <v>180</v>
      </c>
      <c r="C89" s="5"/>
      <c r="D89" s="5"/>
      <c r="E89" s="5"/>
      <c r="F89" s="5"/>
      <c r="G89" s="5"/>
      <c r="H89" s="5"/>
      <c r="I89" s="5"/>
      <c r="J89" s="5"/>
      <c r="K89" s="5"/>
      <c r="L89" s="5"/>
      <c r="M89" s="5"/>
      <c r="N89" s="5"/>
      <c r="O89" s="5"/>
      <c r="P89" s="5"/>
      <c r="Q89" s="5"/>
      <c r="R89" s="5"/>
      <c r="S89" s="7"/>
      <c r="T89" s="17"/>
      <c r="U89" s="17"/>
      <c r="V89" s="17"/>
      <c r="W89" s="17"/>
      <c r="X89" s="17"/>
      <c r="Y89" s="17"/>
      <c r="Z89" s="17"/>
    </row>
    <row r="90" ht="20.25" customHeight="1">
      <c r="A90" s="17"/>
      <c r="B90" s="232"/>
      <c r="C90" s="5"/>
      <c r="D90" s="5"/>
      <c r="E90" s="5"/>
      <c r="F90" s="5"/>
      <c r="G90" s="5"/>
      <c r="H90" s="5"/>
      <c r="I90" s="5"/>
      <c r="J90" s="5"/>
      <c r="K90" s="5"/>
      <c r="L90" s="5"/>
      <c r="M90" s="5"/>
      <c r="N90" s="5"/>
      <c r="O90" s="5"/>
      <c r="P90" s="5"/>
      <c r="Q90" s="5"/>
      <c r="R90" s="5"/>
      <c r="S90" s="7"/>
      <c r="T90" s="17"/>
      <c r="U90" s="17"/>
      <c r="V90" s="17"/>
      <c r="W90" s="17"/>
      <c r="X90" s="17"/>
      <c r="Y90" s="17"/>
      <c r="Z90" s="17"/>
    </row>
    <row r="91" ht="20.25" customHeight="1">
      <c r="A91" s="17"/>
      <c r="B91" s="233"/>
      <c r="C91" s="233"/>
      <c r="D91" s="233"/>
      <c r="E91" s="233"/>
      <c r="F91" s="233"/>
      <c r="G91" s="233"/>
      <c r="H91" s="233"/>
      <c r="I91" s="233"/>
      <c r="J91" s="233"/>
      <c r="K91" s="233"/>
      <c r="L91" s="233"/>
      <c r="M91" s="233"/>
      <c r="N91" s="233"/>
      <c r="O91" s="233"/>
      <c r="P91" s="233"/>
      <c r="Q91" s="233"/>
      <c r="R91" s="233"/>
      <c r="S91" s="233"/>
      <c r="T91" s="17"/>
      <c r="U91" s="17"/>
      <c r="V91" s="17"/>
      <c r="W91" s="17"/>
      <c r="X91" s="17"/>
      <c r="Y91" s="17"/>
      <c r="Z91" s="17"/>
    </row>
    <row r="92" ht="18.0" customHeight="1">
      <c r="A92" s="17"/>
      <c r="B92" s="234"/>
      <c r="T92" s="17"/>
      <c r="U92" s="17"/>
      <c r="V92" s="17"/>
      <c r="W92" s="17"/>
      <c r="X92" s="17"/>
      <c r="Y92" s="17"/>
      <c r="Z92" s="17"/>
    </row>
    <row r="93" ht="19.5" customHeight="1">
      <c r="A93" s="17"/>
      <c r="B93" s="231" t="s">
        <v>181</v>
      </c>
      <c r="C93" s="5"/>
      <c r="D93" s="5"/>
      <c r="E93" s="5"/>
      <c r="F93" s="5"/>
      <c r="G93" s="5"/>
      <c r="H93" s="5"/>
      <c r="I93" s="5"/>
      <c r="J93" s="5"/>
      <c r="K93" s="5"/>
      <c r="L93" s="5"/>
      <c r="M93" s="5"/>
      <c r="N93" s="5"/>
      <c r="O93" s="5"/>
      <c r="P93" s="5"/>
      <c r="Q93" s="5"/>
      <c r="R93" s="5"/>
      <c r="S93" s="7"/>
      <c r="T93" s="17"/>
      <c r="U93" s="17"/>
      <c r="V93" s="17"/>
      <c r="W93" s="17"/>
      <c r="X93" s="17"/>
      <c r="Y93" s="17"/>
      <c r="Z93" s="17"/>
    </row>
    <row r="94" ht="57.75" customHeight="1">
      <c r="A94" s="17"/>
      <c r="B94" s="100"/>
      <c r="C94" s="5"/>
      <c r="D94" s="5"/>
      <c r="E94" s="5"/>
      <c r="F94" s="5"/>
      <c r="G94" s="5"/>
      <c r="H94" s="5"/>
      <c r="I94" s="5"/>
      <c r="J94" s="5"/>
      <c r="K94" s="5"/>
      <c r="L94" s="5"/>
      <c r="M94" s="5"/>
      <c r="N94" s="5"/>
      <c r="O94" s="5"/>
      <c r="P94" s="5"/>
      <c r="Q94" s="5"/>
      <c r="R94" s="5"/>
      <c r="S94" s="7"/>
      <c r="T94" s="17"/>
      <c r="U94" s="17"/>
      <c r="V94" s="17"/>
      <c r="W94" s="17"/>
      <c r="X94" s="17"/>
      <c r="Y94" s="17"/>
      <c r="Z94" s="17"/>
    </row>
    <row r="95" ht="17.25" customHeight="1">
      <c r="A95" s="17"/>
      <c r="B95" s="235"/>
      <c r="C95" s="235"/>
      <c r="D95" s="235"/>
      <c r="E95" s="235"/>
      <c r="F95" s="235"/>
      <c r="G95" s="235"/>
      <c r="H95" s="235"/>
      <c r="I95" s="235"/>
      <c r="J95" s="235"/>
      <c r="K95" s="235"/>
      <c r="L95" s="235"/>
      <c r="M95" s="235"/>
      <c r="N95" s="235"/>
      <c r="O95" s="235"/>
      <c r="P95" s="236"/>
      <c r="Q95" s="236"/>
      <c r="R95" s="236"/>
      <c r="S95" s="236"/>
      <c r="T95" s="17"/>
      <c r="U95" s="17"/>
      <c r="V95" s="17"/>
      <c r="W95" s="17"/>
      <c r="X95" s="17"/>
      <c r="Y95" s="17"/>
      <c r="Z95" s="17"/>
    </row>
    <row r="96" ht="21.0" customHeight="1">
      <c r="A96" s="17"/>
      <c r="B96" s="237" t="s">
        <v>183</v>
      </c>
      <c r="C96" s="5"/>
      <c r="D96" s="5"/>
      <c r="E96" s="5"/>
      <c r="F96" s="5"/>
      <c r="G96" s="5"/>
      <c r="H96" s="5"/>
      <c r="I96" s="5"/>
      <c r="J96" s="5"/>
      <c r="K96" s="5"/>
      <c r="L96" s="5"/>
      <c r="M96" s="5"/>
      <c r="N96" s="5"/>
      <c r="O96" s="5"/>
      <c r="P96" s="5"/>
      <c r="Q96" s="5"/>
      <c r="R96" s="5"/>
      <c r="S96" s="7"/>
      <c r="T96" s="17"/>
      <c r="U96" s="17"/>
      <c r="V96" s="17"/>
      <c r="W96" s="17"/>
      <c r="X96" s="17"/>
      <c r="Y96" s="17"/>
      <c r="Z96" s="17"/>
    </row>
    <row r="97" ht="21.75" customHeight="1">
      <c r="A97" s="17"/>
      <c r="B97" s="237" t="s">
        <v>205</v>
      </c>
      <c r="C97" s="5"/>
      <c r="D97" s="5"/>
      <c r="E97" s="5"/>
      <c r="F97" s="5"/>
      <c r="G97" s="5"/>
      <c r="H97" s="5"/>
      <c r="I97" s="5"/>
      <c r="J97" s="5"/>
      <c r="K97" s="5"/>
      <c r="L97" s="5"/>
      <c r="M97" s="5"/>
      <c r="N97" s="5"/>
      <c r="O97" s="5"/>
      <c r="P97" s="5"/>
      <c r="Q97" s="5"/>
      <c r="R97" s="5"/>
      <c r="S97" s="7"/>
      <c r="T97" s="17"/>
      <c r="U97" s="17"/>
      <c r="V97" s="17"/>
      <c r="W97" s="17"/>
      <c r="X97" s="17"/>
      <c r="Y97" s="17"/>
      <c r="Z97" s="17"/>
    </row>
    <row r="98" ht="142.5" customHeight="1">
      <c r="A98" s="17"/>
      <c r="B98" s="97" t="s">
        <v>186</v>
      </c>
      <c r="C98" s="5"/>
      <c r="D98" s="5"/>
      <c r="E98" s="5"/>
      <c r="F98" s="5"/>
      <c r="G98" s="5"/>
      <c r="H98" s="5"/>
      <c r="I98" s="5"/>
      <c r="J98" s="5"/>
      <c r="K98" s="5"/>
      <c r="L98" s="5"/>
      <c r="M98" s="5"/>
      <c r="N98" s="5"/>
      <c r="O98" s="5"/>
      <c r="P98" s="5"/>
      <c r="Q98" s="5"/>
      <c r="R98" s="5"/>
      <c r="S98" s="7"/>
      <c r="T98" s="17"/>
      <c r="U98" s="17"/>
      <c r="V98" s="17"/>
      <c r="W98" s="17"/>
      <c r="X98" s="17"/>
      <c r="Y98" s="17"/>
      <c r="Z98" s="17"/>
    </row>
    <row r="99" ht="30.0" customHeight="1">
      <c r="A99" s="17"/>
      <c r="B99" s="238" t="s">
        <v>183</v>
      </c>
      <c r="C99" s="28"/>
      <c r="D99" s="28"/>
      <c r="E99" s="28"/>
      <c r="F99" s="28"/>
      <c r="G99" s="28"/>
      <c r="H99" s="28"/>
      <c r="I99" s="28"/>
      <c r="J99" s="28"/>
      <c r="K99" s="28"/>
      <c r="L99" s="28"/>
      <c r="M99" s="28"/>
      <c r="N99" s="28"/>
      <c r="O99" s="28"/>
      <c r="P99" s="28"/>
      <c r="Q99" s="28"/>
      <c r="R99" s="28"/>
      <c r="S99" s="28"/>
      <c r="T99" s="17"/>
      <c r="U99" s="17"/>
      <c r="V99" s="17"/>
      <c r="W99" s="17"/>
      <c r="X99" s="17"/>
      <c r="Y99" s="17"/>
      <c r="Z99" s="17"/>
    </row>
    <row r="100" ht="24.0" customHeight="1">
      <c r="A100" s="17"/>
      <c r="B100" s="239"/>
      <c r="C100" s="28"/>
      <c r="D100" s="28"/>
      <c r="E100" s="28"/>
      <c r="F100" s="28"/>
      <c r="G100" s="28"/>
      <c r="H100" s="28"/>
      <c r="I100" s="28"/>
      <c r="J100" s="28"/>
      <c r="K100" s="28"/>
      <c r="L100" s="28"/>
      <c r="M100" s="28"/>
      <c r="N100" s="28"/>
      <c r="O100" s="28"/>
      <c r="P100" s="28"/>
      <c r="Q100" s="28"/>
      <c r="R100" s="28"/>
      <c r="S100" s="31"/>
      <c r="T100" s="17"/>
      <c r="U100" s="17"/>
      <c r="V100" s="17"/>
      <c r="W100" s="17"/>
      <c r="X100" s="17"/>
      <c r="Y100" s="17"/>
      <c r="Z100" s="17"/>
    </row>
    <row r="101" ht="36.75" customHeight="1">
      <c r="A101" s="17"/>
      <c r="B101" s="43"/>
      <c r="C101" s="44"/>
      <c r="D101" s="44"/>
      <c r="E101" s="44"/>
      <c r="F101" s="44"/>
      <c r="G101" s="44"/>
      <c r="H101" s="44"/>
      <c r="I101" s="44"/>
      <c r="J101" s="44"/>
      <c r="K101" s="44"/>
      <c r="L101" s="44"/>
      <c r="M101" s="44"/>
      <c r="N101" s="44"/>
      <c r="O101" s="44"/>
      <c r="P101" s="44"/>
      <c r="Q101" s="44"/>
      <c r="R101" s="44"/>
      <c r="S101" s="45"/>
      <c r="T101" s="17"/>
      <c r="U101" s="17"/>
      <c r="V101" s="17"/>
      <c r="W101" s="17"/>
      <c r="X101" s="17"/>
      <c r="Y101" s="17"/>
      <c r="Z101" s="17"/>
    </row>
    <row r="102" ht="32.25" customHeight="1">
      <c r="A102" s="17"/>
      <c r="B102" s="240" t="s">
        <v>188</v>
      </c>
      <c r="C102" s="5"/>
      <c r="D102" s="5"/>
      <c r="E102" s="5"/>
      <c r="F102" s="5"/>
      <c r="G102" s="5"/>
      <c r="H102" s="5"/>
      <c r="I102" s="5"/>
      <c r="J102" s="5"/>
      <c r="K102" s="5"/>
      <c r="L102" s="5"/>
      <c r="M102" s="5"/>
      <c r="N102" s="5"/>
      <c r="O102" s="5"/>
      <c r="P102" s="5"/>
      <c r="Q102" s="5"/>
      <c r="R102" s="5"/>
      <c r="S102" s="5"/>
      <c r="T102" s="17"/>
      <c r="U102" s="17"/>
      <c r="V102" s="17"/>
      <c r="W102" s="17"/>
      <c r="X102" s="17"/>
      <c r="Y102" s="17"/>
      <c r="Z102" s="17"/>
    </row>
    <row r="103" ht="85.5" customHeight="1">
      <c r="A103" s="17"/>
      <c r="B103" s="97" t="s">
        <v>189</v>
      </c>
      <c r="C103" s="5"/>
      <c r="D103" s="5"/>
      <c r="E103" s="5"/>
      <c r="F103" s="5"/>
      <c r="G103" s="5"/>
      <c r="H103" s="5"/>
      <c r="I103" s="5"/>
      <c r="J103" s="5"/>
      <c r="K103" s="5"/>
      <c r="L103" s="5"/>
      <c r="M103" s="5"/>
      <c r="N103" s="5"/>
      <c r="O103" s="5"/>
      <c r="P103" s="5"/>
      <c r="Q103" s="5"/>
      <c r="R103" s="5"/>
      <c r="S103" s="7"/>
      <c r="T103" s="17"/>
      <c r="U103" s="17"/>
      <c r="V103" s="17"/>
      <c r="W103" s="17"/>
      <c r="X103" s="17"/>
      <c r="Y103" s="17"/>
      <c r="Z103" s="17"/>
    </row>
    <row r="104" ht="18.0"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9.5" customHeight="1">
      <c r="A105" s="17"/>
      <c r="B105" s="90" t="s">
        <v>190</v>
      </c>
      <c r="C105" s="90"/>
      <c r="D105" s="90"/>
      <c r="E105" s="90"/>
      <c r="F105" s="90"/>
      <c r="G105" s="90"/>
      <c r="H105" s="90"/>
      <c r="I105" s="90"/>
      <c r="J105" s="90"/>
      <c r="K105" s="90"/>
      <c r="L105" s="90"/>
      <c r="M105" s="90"/>
      <c r="N105" s="90"/>
      <c r="O105" s="90"/>
      <c r="P105" s="90"/>
      <c r="Q105" s="17"/>
      <c r="R105" s="17"/>
      <c r="S105" s="17"/>
      <c r="T105" s="17"/>
      <c r="U105" s="17"/>
      <c r="V105" s="17"/>
      <c r="W105" s="17"/>
      <c r="X105" s="17"/>
      <c r="Y105" s="17"/>
      <c r="Z105" s="17"/>
    </row>
    <row r="106" ht="12.0" customHeight="1">
      <c r="A106" s="17"/>
      <c r="B106" s="241" t="s">
        <v>192</v>
      </c>
      <c r="T106" s="17"/>
      <c r="U106" s="17"/>
      <c r="V106" s="17"/>
      <c r="W106" s="17"/>
      <c r="X106" s="17"/>
      <c r="Y106" s="17"/>
      <c r="Z106" s="17"/>
    </row>
    <row r="107" ht="12.0"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57.0" customHeight="1">
      <c r="A108" s="17"/>
      <c r="B108" s="242" t="s">
        <v>193</v>
      </c>
      <c r="T108" s="17"/>
      <c r="U108" s="17"/>
      <c r="V108" s="17"/>
      <c r="W108" s="17"/>
      <c r="X108" s="17"/>
      <c r="Y108" s="17"/>
      <c r="Z108" s="17"/>
    </row>
    <row r="109" ht="12.0"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2.0" customHeight="1">
      <c r="A110" s="17"/>
      <c r="B110" s="243" t="s">
        <v>194</v>
      </c>
      <c r="C110" s="28"/>
      <c r="D110" s="28"/>
      <c r="E110" s="28"/>
      <c r="F110" s="28"/>
      <c r="G110" s="28"/>
      <c r="H110" s="28"/>
      <c r="I110" s="28"/>
      <c r="J110" s="28"/>
      <c r="K110" s="28"/>
      <c r="L110" s="28"/>
      <c r="M110" s="28"/>
      <c r="N110" s="31"/>
      <c r="O110" s="244" t="s">
        <v>195</v>
      </c>
      <c r="P110" s="28"/>
      <c r="Q110" s="28"/>
      <c r="R110" s="28"/>
      <c r="S110" s="31"/>
      <c r="T110" s="17"/>
      <c r="U110" s="17"/>
      <c r="V110" s="17"/>
      <c r="W110" s="17"/>
      <c r="X110" s="17"/>
      <c r="Y110" s="17"/>
      <c r="Z110" s="17"/>
    </row>
    <row r="111" ht="12.0" customHeight="1">
      <c r="A111" s="17"/>
      <c r="B111" s="245" t="s">
        <v>197</v>
      </c>
      <c r="C111" s="246"/>
      <c r="D111" s="17"/>
      <c r="N111" s="35"/>
      <c r="O111" s="245" t="s">
        <v>197</v>
      </c>
      <c r="Q111" s="17"/>
      <c r="S111" s="35"/>
      <c r="T111" s="17"/>
      <c r="U111" s="17"/>
      <c r="V111" s="17"/>
      <c r="W111" s="17"/>
      <c r="X111" s="17"/>
      <c r="Y111" s="17"/>
      <c r="Z111" s="17"/>
    </row>
    <row r="112" ht="12.0" customHeight="1">
      <c r="A112" s="17"/>
      <c r="B112" s="245" t="s">
        <v>199</v>
      </c>
      <c r="C112" s="246"/>
      <c r="D112" s="17"/>
      <c r="N112" s="35"/>
      <c r="O112" s="245" t="s">
        <v>199</v>
      </c>
      <c r="Q112" s="17"/>
      <c r="S112" s="35"/>
      <c r="T112" s="17"/>
      <c r="U112" s="17"/>
      <c r="V112" s="17"/>
      <c r="W112" s="17"/>
      <c r="X112" s="17"/>
      <c r="Y112" s="17"/>
      <c r="Z112" s="17"/>
    </row>
    <row r="113" ht="12.0" customHeight="1">
      <c r="A113" s="17"/>
      <c r="B113" s="247" t="s">
        <v>200</v>
      </c>
      <c r="C113" s="44"/>
      <c r="D113" s="248"/>
      <c r="E113" s="44"/>
      <c r="F113" s="44"/>
      <c r="G113" s="44"/>
      <c r="H113" s="44"/>
      <c r="I113" s="44"/>
      <c r="J113" s="44"/>
      <c r="K113" s="44"/>
      <c r="L113" s="44"/>
      <c r="M113" s="44"/>
      <c r="N113" s="45"/>
      <c r="O113" s="247" t="s">
        <v>200</v>
      </c>
      <c r="P113" s="44"/>
      <c r="Q113" s="248"/>
      <c r="R113" s="44"/>
      <c r="S113" s="45"/>
      <c r="T113" s="17"/>
      <c r="U113" s="17"/>
      <c r="V113" s="17"/>
      <c r="W113" s="17"/>
      <c r="X113" s="17"/>
      <c r="Y113" s="17"/>
      <c r="Z113" s="17"/>
    </row>
    <row r="114" ht="12.0"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2.0"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2.0"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2.0"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2.0"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2.0"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2.0"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2.0"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2.0"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2.0"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2.0"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2.0"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2.0"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2.0"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2.0"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2.0"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2.0"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2.0"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2.0"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2.0"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2.0"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2.0"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2.0"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2.0"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2.0"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2.0"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2.0"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2.0"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2.0"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2.0"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2.0"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2.0"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2.0"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2.0"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2.0"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2.0"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2.0"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2.0"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2.0"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2.0"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2.0"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2.0"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2.0"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2.0"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2.0"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2.0"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2.0"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2.0"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2.0"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0"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0"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0"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0"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0"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0"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0"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0"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0"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0"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0"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0"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0"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0"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0"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0"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0"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0"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0"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0"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0"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0"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0"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0"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0"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0"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0"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0"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0"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0"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0"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0"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0"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0"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0"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0"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0"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0"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0"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0"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0"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0"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0"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0"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0"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0"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0"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0"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0"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0"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0"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0"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0"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0"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0"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0"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0"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0"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0"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2.0"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2.0"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2.0"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2.0"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2.0"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2.0"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2.0"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2.0"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2.0"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2.0"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2.0"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2.0"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2.0"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2.0"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2.0"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2.0"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2.0"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2.0"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2.0"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2.0"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2.0"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2.0"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2.0"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2.0"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2.0"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2.0"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0"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2.0"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2.0"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2.0"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2.0"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2.0"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2.0"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2.0"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2.0"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2.0"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2.0"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2.0"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2.0"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2.0"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2.0"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2.0"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2.0"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2.0"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2.0"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2.0"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2.0"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2.0"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2.0"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2.0"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2.0"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2.0"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2.0"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2.0"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2.0"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2.0"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2.0"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2.0"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2.0"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2.0"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2.0"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2.0"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2.0"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2.0"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2.0"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2.0"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2.0"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2.0"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2.0"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2.0"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2.0"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2.0"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2.0"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2.0"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2.0"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2.0"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2.0"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2.0"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2.0"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2.0"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2.0"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2.0"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2.0"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2.0"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2.0"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2.0"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2.0"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2.0"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2.0"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2.0"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2.0"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2.0"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2.0"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2.0"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2.0"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2.0"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2.0"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2.0"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2.0"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2.0"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2.0"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2.0"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2.0"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2.0"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2.0"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2.0"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2.0"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2.0"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2.0"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2.0"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2.0"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2.0"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2.0"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2.0"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2.0"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2.0"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2.0"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2.0"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2.0"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2.0"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2.0"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2.0"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2.0"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2.0"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2.0"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2.0"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2.0"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2.0"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2.0"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2.0"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2.0"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2.0"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2.0"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2.0"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2.0"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2.0"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2.0"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2.0"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2.0"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2.0"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2.0"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2.0"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2.0"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2.0"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2.0"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2.0"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2.0"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2.0"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2.0"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2.0"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2.0"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2.0"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2.0"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2.0"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2.0"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2.0"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2.0"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2.0"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2.0"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2.0"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2.0"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2.0"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2.0"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2.0"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2.0"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2.0"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2.0"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2.0"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2.0"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2.0"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2.0"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2.0"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2.0"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2.0"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2.0"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2.0"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2.0"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2.0"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2.0"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2.0"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2.0"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2.0"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2.0"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2.0"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2.0"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2.0"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2.0"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2.0"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2.0"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2.0"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2.0"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2.0"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2.0"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2.0"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2.0"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2.0"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2.0"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2.0"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2.0"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2.0"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2.0"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2.0"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2.0"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2.0"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2.0"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2.0"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2.0"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2.0"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2.0"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2.0"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2.0"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2.0"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2.0"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2.0"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2.0"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2.0"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2.0"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2.0"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2.0"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2.0"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2.0"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2.0"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2.0"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2.0"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2.0"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2.0"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2.0"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2.0"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2.0"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2.0"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2.0"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2.0"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2.0"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2.0"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2.0"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2.0"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2.0"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2.0"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2.0"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2.0"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2.0"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2.0"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2.0"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2.0"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2.0"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2.0"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2.0"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2.0"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2.0"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2.0"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2.0"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2.0"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2.0"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2.0"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2.0"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2.0"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2.0"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2.0"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2.0"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2.0"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2.0"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2.0"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2.0"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2.0"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2.0"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2.0"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2.0"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2.0"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2.0"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2.0"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2.0"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2.0"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2.0"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2.0"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2.0"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2.0"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2.0"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2.0"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2.0"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2.0"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2.0"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2.0"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2.0"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2.0"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2.0"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2.0"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2.0"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2.0"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2.0"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2.0"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2.0"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2.0"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2.0"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2.0"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2.0"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2.0"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2.0"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2.0"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2.0"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2.0"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2.0"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2.0"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2.0"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2.0"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2.0"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2.0"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2.0"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2.0"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2.0"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2.0"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2.0"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2.0"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2.0"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2.0"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2.0"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2.0"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2.0"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2.0"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2.0"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2.0"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2.0"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2.0"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2.0"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2.0"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2.0"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2.0"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2.0"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2.0"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2.0"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2.0"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2.0"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2.0"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2.0"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2.0"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2.0"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2.0"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2.0"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2.0"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2.0"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2.0"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2.0"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2.0"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2.0"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2.0"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2.0"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2.0"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2.0"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2.0"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2.0"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2.0"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2.0"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2.0"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2.0"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2.0"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2.0"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2.0"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2.0"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2.0"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2.0"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2.0"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2.0"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2.0"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2.0"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2.0"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2.0"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2.0"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2.0"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2.0"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2.0"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2.0"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2.0"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2.0"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2.0"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2.0"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2.0"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2.0"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2.0"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2.0"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2.0"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2.0"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2.0"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2.0"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2.0"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2.0"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2.0"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2.0"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2.0"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2.0"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2.0"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2.0"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2.0"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2.0"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2.0"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2.0"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2.0"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2.0"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2.0"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2.0"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2.0"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2.0"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2.0"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2.0"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2.0"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2.0"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2.0"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2.0"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2.0"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2.0"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2.0"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2.0"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2.0"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2.0"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2.0"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2.0"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2.0"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2.0"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2.0"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2.0"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2.0"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2.0"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2.0"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2.0"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2.0"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2.0"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2.0"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2.0"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2.0"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2.0"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2.0"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2.0"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2.0"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2.0"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2.0"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2.0"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2.0"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2.0"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2.0"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2.0"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2.0"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2.0"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2.0"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2.0"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2.0"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2.0"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2.0"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2.0"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2.0"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2.0"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2.0"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2.0"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2.0"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2.0"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2.0"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2.0"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2.0"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2.0"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2.0"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2.0"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2.0"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2.0"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2.0"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2.0"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2.0"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2.0"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2.0"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2.0"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2.0"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2.0"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2.0"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2.0"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2.0"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2.0"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2.0"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2.0"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2.0"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2.0"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2.0"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2.0"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2.0"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2.0"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2.0"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2.0"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2.0"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2.0"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2.0"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2.0"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2.0"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2.0"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2.0"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2.0"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2.0"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2.0"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2.0"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2.0"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2.0"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2.0"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2.0"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2.0"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2.0"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2.0"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2.0"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2.0"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2.0"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2.0"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2.0"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2.0"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2.0"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2.0"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2.0"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2.0"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2.0"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2.0"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2.0"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2.0"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2.0"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2.0"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2.0"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2.0"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2.0"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2.0"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2.0"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2.0"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2.0"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2.0"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2.0"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2.0"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2.0"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2.0"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2.0"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2.0"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2.0"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2.0"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2.0"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2.0"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2.0"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2.0"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2.0"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2.0"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2.0"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2.0"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2.0"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2.0"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2.0"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2.0"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2.0"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2.0"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2.0"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2.0"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2.0"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2.0"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2.0"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2.0"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2.0"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2.0"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2.0"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2.0"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2.0"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2.0"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2.0"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2.0"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2.0"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2.0"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2.0"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2.0"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2.0"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2.0"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2.0"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2.0"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2.0"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2.0"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2.0"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2.0"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2.0"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2.0"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2.0"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2.0"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2.0"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2.0"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2.0"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2.0"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2.0"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2.0"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2.0"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2.0"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2.0"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2.0"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2.0"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2.0"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2.0"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2.0"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2.0"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2.0"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2.0"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2.0"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2.0"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2.0"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2.0"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2.0"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2.0"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2.0"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2.0"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2.0"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2.0"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2.0"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2.0"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2.0"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2.0"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2.0"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2.0"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2.0"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2.0"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2.0"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2.0"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2.0"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2.0"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2.0"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2.0"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2.0"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2.0"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2.0"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2.0"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2.0"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2.0"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2.0"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2.0"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2.0"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2.0"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2.0"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2.0"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2.0"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2.0"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2.0"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2.0"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2.0"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2.0"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2.0"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2.0"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2.0"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2.0"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2.0"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2.0"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2.0"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2.0"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2.0"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2.0"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2.0"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2.0"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2.0"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2.0"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2.0"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2.0"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2.0"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2.0"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2.0"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2.0"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2.0"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2.0"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2.0"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2.0"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2.0"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2.0"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2.0"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2.0"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2.0"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2.0"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2.0"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2.0"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2.0"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2.0"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2.0"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2.0"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2.0"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2.0"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2.0"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2.0"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2.0"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2.0"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2.0"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2.0"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2.0"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2.0"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2.0"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2.0"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2.0"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2.0"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2.0"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2.0"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2.0"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2.0"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2.0"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2.0"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2.0"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2.0"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2.0"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2.0"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2.0"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2.0"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2.0"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2.0"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2.0"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2.0"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2.0"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2.0"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2.0"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2.0"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2.0"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2.0"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2.0"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2.0"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2.0"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2.0"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2.0"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2.0"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2.0"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2.0"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2.0"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2.0"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2.0"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2.0"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2.0"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2.0"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2.0"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2.0"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2.0"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2.0"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2.0"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2.0"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2.0"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2.0"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2.0"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2.0"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2.0"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2.0"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2.0"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2.0"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2.0"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2.0"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2.0"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2.0"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2.0"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2.0"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2.0"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2.0"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2.0"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2.0"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2.0"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2.0"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2.0"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2.0"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2.0"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2.0"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2.0"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2.0"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2.0"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2.0"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2.0"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2.0"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2.0"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2.0"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2.0"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2.0"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2.0"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2.0"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2.0"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2.0"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2.0"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2.0"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2.0"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2.0"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2.0"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2.0"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2.0"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2.0"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2.0"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2.0"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2.0"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2.0"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2.0"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2.0"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226">
    <mergeCell ref="R20:S20"/>
    <mergeCell ref="R21:S21"/>
    <mergeCell ref="B17:S18"/>
    <mergeCell ref="D20:K20"/>
    <mergeCell ref="L20:M20"/>
    <mergeCell ref="N20:P20"/>
    <mergeCell ref="D21:K21"/>
    <mergeCell ref="L21:M21"/>
    <mergeCell ref="N21:P21"/>
    <mergeCell ref="D22:K22"/>
    <mergeCell ref="L22:M22"/>
    <mergeCell ref="N22:P22"/>
    <mergeCell ref="R22:S22"/>
    <mergeCell ref="L23:M23"/>
    <mergeCell ref="N23:P23"/>
    <mergeCell ref="R23:S23"/>
    <mergeCell ref="D23:K23"/>
    <mergeCell ref="D24:K24"/>
    <mergeCell ref="L24:M24"/>
    <mergeCell ref="N24:P24"/>
    <mergeCell ref="R24:S24"/>
    <mergeCell ref="B25:S25"/>
    <mergeCell ref="B27:S27"/>
    <mergeCell ref="N6:P6"/>
    <mergeCell ref="Q6:S6"/>
    <mergeCell ref="B2:S2"/>
    <mergeCell ref="B4:F4"/>
    <mergeCell ref="G4:S4"/>
    <mergeCell ref="B5:F5"/>
    <mergeCell ref="G5:S5"/>
    <mergeCell ref="B6:F6"/>
    <mergeCell ref="G6:M6"/>
    <mergeCell ref="B10:F10"/>
    <mergeCell ref="B11:F11"/>
    <mergeCell ref="B12:F15"/>
    <mergeCell ref="B20:C20"/>
    <mergeCell ref="B21:C21"/>
    <mergeCell ref="B22:C22"/>
    <mergeCell ref="B23:C23"/>
    <mergeCell ref="B24:C24"/>
    <mergeCell ref="B7:F7"/>
    <mergeCell ref="G7:M7"/>
    <mergeCell ref="N7:P7"/>
    <mergeCell ref="Q7:S7"/>
    <mergeCell ref="B8:F8"/>
    <mergeCell ref="G8:S8"/>
    <mergeCell ref="G10:S10"/>
    <mergeCell ref="R14:S14"/>
    <mergeCell ref="R15:S15"/>
    <mergeCell ref="G11:S11"/>
    <mergeCell ref="G12:O12"/>
    <mergeCell ref="R12:S12"/>
    <mergeCell ref="G13:O13"/>
    <mergeCell ref="R13:S13"/>
    <mergeCell ref="G14:O14"/>
    <mergeCell ref="G15:O15"/>
    <mergeCell ref="B29:S29"/>
    <mergeCell ref="C30:K30"/>
    <mergeCell ref="L30:S30"/>
    <mergeCell ref="C31:K31"/>
    <mergeCell ref="L31:S31"/>
    <mergeCell ref="C32:K32"/>
    <mergeCell ref="L32:S32"/>
    <mergeCell ref="B38:S38"/>
    <mergeCell ref="I39:R39"/>
    <mergeCell ref="G39:H42"/>
    <mergeCell ref="I40:P40"/>
    <mergeCell ref="I41:L41"/>
    <mergeCell ref="M41:P41"/>
    <mergeCell ref="Q40:R40"/>
    <mergeCell ref="Q41:Q42"/>
    <mergeCell ref="R41:R42"/>
    <mergeCell ref="C33:K33"/>
    <mergeCell ref="L33:S33"/>
    <mergeCell ref="B35:S35"/>
    <mergeCell ref="B36:S36"/>
    <mergeCell ref="B39:C42"/>
    <mergeCell ref="D39:F42"/>
    <mergeCell ref="S39:S42"/>
    <mergeCell ref="D45:F45"/>
    <mergeCell ref="G45:H45"/>
    <mergeCell ref="B43:C43"/>
    <mergeCell ref="D43:F43"/>
    <mergeCell ref="G43:H43"/>
    <mergeCell ref="B44:C44"/>
    <mergeCell ref="D44:F44"/>
    <mergeCell ref="G44:H44"/>
    <mergeCell ref="B45:C45"/>
    <mergeCell ref="B49:C49"/>
    <mergeCell ref="D49:F49"/>
    <mergeCell ref="G49:H49"/>
    <mergeCell ref="D48:F48"/>
    <mergeCell ref="G48:H48"/>
    <mergeCell ref="B46:C46"/>
    <mergeCell ref="D46:F46"/>
    <mergeCell ref="G46:H46"/>
    <mergeCell ref="B47:C47"/>
    <mergeCell ref="D47:F47"/>
    <mergeCell ref="G47:H47"/>
    <mergeCell ref="B48:C48"/>
    <mergeCell ref="D52:F52"/>
    <mergeCell ref="G52:H52"/>
    <mergeCell ref="B50:C50"/>
    <mergeCell ref="D50:F50"/>
    <mergeCell ref="G50:H50"/>
    <mergeCell ref="B51:C51"/>
    <mergeCell ref="D51:F51"/>
    <mergeCell ref="G51:H51"/>
    <mergeCell ref="B52:C52"/>
    <mergeCell ref="D55:F55"/>
    <mergeCell ref="G55:H55"/>
    <mergeCell ref="B56:C56"/>
    <mergeCell ref="D56:F56"/>
    <mergeCell ref="G56:H56"/>
    <mergeCell ref="B57:C57"/>
    <mergeCell ref="D57:F57"/>
    <mergeCell ref="G57:H57"/>
    <mergeCell ref="Q58:R58"/>
    <mergeCell ref="B53:C53"/>
    <mergeCell ref="D53:F53"/>
    <mergeCell ref="G53:H53"/>
    <mergeCell ref="B54:C54"/>
    <mergeCell ref="D54:F54"/>
    <mergeCell ref="G54:H54"/>
    <mergeCell ref="B55:C55"/>
    <mergeCell ref="Q61:Q62"/>
    <mergeCell ref="R61:R62"/>
    <mergeCell ref="Q68:R68"/>
    <mergeCell ref="Q70:R70"/>
    <mergeCell ref="S70:S72"/>
    <mergeCell ref="Q71:Q72"/>
    <mergeCell ref="R71:R72"/>
    <mergeCell ref="B60:H62"/>
    <mergeCell ref="I60:J62"/>
    <mergeCell ref="K60:P60"/>
    <mergeCell ref="Q60:R60"/>
    <mergeCell ref="S60:S62"/>
    <mergeCell ref="K61:M62"/>
    <mergeCell ref="N61:P62"/>
    <mergeCell ref="C63:H63"/>
    <mergeCell ref="I63:J63"/>
    <mergeCell ref="K63:M63"/>
    <mergeCell ref="N63:P63"/>
    <mergeCell ref="I64:J64"/>
    <mergeCell ref="K64:M64"/>
    <mergeCell ref="N64:P64"/>
    <mergeCell ref="K66:M66"/>
    <mergeCell ref="N66:P66"/>
    <mergeCell ref="C64:H64"/>
    <mergeCell ref="C65:H65"/>
    <mergeCell ref="I65:J65"/>
    <mergeCell ref="K65:M65"/>
    <mergeCell ref="N65:P65"/>
    <mergeCell ref="C66:H66"/>
    <mergeCell ref="I66:J66"/>
    <mergeCell ref="K71:M72"/>
    <mergeCell ref="N71:P72"/>
    <mergeCell ref="C67:H67"/>
    <mergeCell ref="I67:J67"/>
    <mergeCell ref="K67:M67"/>
    <mergeCell ref="N67:P67"/>
    <mergeCell ref="B70:H72"/>
    <mergeCell ref="I70:J72"/>
    <mergeCell ref="K70:P70"/>
    <mergeCell ref="B99:S99"/>
    <mergeCell ref="B100:S101"/>
    <mergeCell ref="B102:S102"/>
    <mergeCell ref="B103:S103"/>
    <mergeCell ref="B106:S106"/>
    <mergeCell ref="B108:S108"/>
    <mergeCell ref="O110:S110"/>
    <mergeCell ref="B113:C113"/>
    <mergeCell ref="D113:N113"/>
    <mergeCell ref="O113:P113"/>
    <mergeCell ref="Q113:S113"/>
    <mergeCell ref="B110:N110"/>
    <mergeCell ref="D111:N111"/>
    <mergeCell ref="O111:P111"/>
    <mergeCell ref="Q111:S111"/>
    <mergeCell ref="D112:N112"/>
    <mergeCell ref="O112:P112"/>
    <mergeCell ref="Q112:S112"/>
    <mergeCell ref="C73:H73"/>
    <mergeCell ref="I73:J73"/>
    <mergeCell ref="K73:M73"/>
    <mergeCell ref="N73:P73"/>
    <mergeCell ref="I74:J74"/>
    <mergeCell ref="K74:M74"/>
    <mergeCell ref="N74:P74"/>
    <mergeCell ref="K76:M76"/>
    <mergeCell ref="N76:P76"/>
    <mergeCell ref="C74:H74"/>
    <mergeCell ref="C75:H75"/>
    <mergeCell ref="I75:J75"/>
    <mergeCell ref="K75:M75"/>
    <mergeCell ref="N75:P75"/>
    <mergeCell ref="C76:H76"/>
    <mergeCell ref="I76:J76"/>
    <mergeCell ref="C77:H77"/>
    <mergeCell ref="I77:J77"/>
    <mergeCell ref="K77:M77"/>
    <mergeCell ref="N77:P77"/>
    <mergeCell ref="Q78:R78"/>
    <mergeCell ref="Q79:R79"/>
    <mergeCell ref="Q81:S81"/>
    <mergeCell ref="C81:P81"/>
    <mergeCell ref="C82:P82"/>
    <mergeCell ref="Q82:S82"/>
    <mergeCell ref="C83:P83"/>
    <mergeCell ref="Q83:S83"/>
    <mergeCell ref="C84:P84"/>
    <mergeCell ref="Q84:S84"/>
    <mergeCell ref="C85:P85"/>
    <mergeCell ref="Q85:S85"/>
    <mergeCell ref="C86:P86"/>
    <mergeCell ref="Q86:S86"/>
    <mergeCell ref="B87:P87"/>
    <mergeCell ref="Q87:S87"/>
    <mergeCell ref="B89:S89"/>
    <mergeCell ref="B90:S90"/>
    <mergeCell ref="B92:S92"/>
    <mergeCell ref="B93:S93"/>
    <mergeCell ref="B94:S94"/>
    <mergeCell ref="B96:S96"/>
    <mergeCell ref="B97:S97"/>
    <mergeCell ref="B98:S98"/>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8.86"/>
    <col customWidth="1" min="2" max="2" width="22.14"/>
    <col customWidth="1" min="3" max="3" width="37.14"/>
    <col customWidth="1" min="4" max="4" width="23.43"/>
    <col customWidth="1" min="5" max="5" width="26.57"/>
    <col customWidth="1" min="6" max="26" width="8.86"/>
  </cols>
  <sheetData>
    <row r="1" ht="14.25" customHeight="1">
      <c r="B1" s="65"/>
      <c r="E1" s="65"/>
    </row>
    <row r="2" ht="14.25" customHeight="1">
      <c r="B2" s="65"/>
      <c r="E2" s="65"/>
    </row>
    <row r="3" ht="14.25" hidden="1" customHeight="1">
      <c r="B3" s="71" t="s">
        <v>70</v>
      </c>
      <c r="E3" s="65"/>
    </row>
    <row r="4" ht="14.25" customHeight="1">
      <c r="B4" s="75" t="s">
        <v>74</v>
      </c>
      <c r="C4" s="77" t="s">
        <v>78</v>
      </c>
      <c r="D4" s="77" t="s">
        <v>80</v>
      </c>
      <c r="E4" s="77" t="s">
        <v>82</v>
      </c>
    </row>
    <row r="5" ht="14.25" hidden="1" customHeight="1">
      <c r="A5" s="78"/>
      <c r="B5" s="80" t="s">
        <v>70</v>
      </c>
      <c r="C5" s="81"/>
      <c r="D5" s="82"/>
      <c r="E5" s="81"/>
      <c r="F5" s="83"/>
      <c r="G5" s="83"/>
      <c r="H5" s="78"/>
      <c r="I5" s="78"/>
      <c r="J5" s="78"/>
      <c r="K5" s="78"/>
      <c r="L5" s="78"/>
      <c r="M5" s="78"/>
      <c r="N5" s="78"/>
      <c r="O5" s="78"/>
      <c r="P5" s="78"/>
      <c r="Q5" s="78"/>
      <c r="R5" s="78"/>
      <c r="S5" s="78"/>
      <c r="T5" s="78"/>
      <c r="U5" s="78"/>
      <c r="V5" s="78"/>
      <c r="W5" s="78"/>
      <c r="X5" s="78"/>
      <c r="Y5" s="78"/>
      <c r="Z5" s="78"/>
    </row>
    <row r="6" ht="14.25" hidden="1" customHeight="1">
      <c r="B6" s="86" t="s">
        <v>74</v>
      </c>
      <c r="C6" s="87"/>
      <c r="D6" s="87"/>
      <c r="E6" s="87"/>
      <c r="F6" s="87"/>
      <c r="G6" s="87"/>
    </row>
    <row r="7" ht="14.25" customHeight="1">
      <c r="B7" s="88" t="s">
        <v>96</v>
      </c>
      <c r="C7" s="89" t="s">
        <v>43</v>
      </c>
      <c r="D7" s="89"/>
      <c r="E7" s="89"/>
      <c r="F7" s="87"/>
      <c r="G7" s="87"/>
    </row>
    <row r="8" ht="14.25" customHeight="1">
      <c r="B8" s="88" t="s">
        <v>97</v>
      </c>
      <c r="C8" s="89" t="s">
        <v>98</v>
      </c>
      <c r="D8" s="92"/>
      <c r="E8" s="92"/>
      <c r="F8" s="87"/>
      <c r="G8" s="87"/>
    </row>
    <row r="9" ht="14.25" customHeight="1">
      <c r="B9" s="88"/>
      <c r="C9" s="89"/>
      <c r="D9" s="89"/>
      <c r="E9" s="89"/>
      <c r="F9" s="87"/>
      <c r="G9" s="87"/>
    </row>
    <row r="10" ht="14.25" customHeight="1">
      <c r="B10" s="95"/>
      <c r="C10" s="89"/>
      <c r="D10" s="89"/>
      <c r="E10" s="89"/>
      <c r="F10" s="87"/>
      <c r="G10" s="87"/>
    </row>
    <row r="11" ht="14.25" customHeight="1">
      <c r="B11" s="95"/>
      <c r="C11" s="89"/>
      <c r="D11" s="89"/>
      <c r="E11" s="89"/>
      <c r="F11" s="87"/>
      <c r="G11" s="87"/>
    </row>
    <row r="12" ht="14.25" customHeight="1">
      <c r="B12" s="95"/>
      <c r="C12" s="89"/>
      <c r="D12" s="89"/>
      <c r="E12" s="89"/>
      <c r="F12" s="87"/>
      <c r="G12" s="87"/>
    </row>
    <row r="13" ht="14.25" customHeight="1">
      <c r="B13" s="95"/>
      <c r="C13" s="89"/>
      <c r="D13" s="89"/>
      <c r="E13" s="89"/>
      <c r="F13" s="87"/>
      <c r="G13" s="87"/>
    </row>
    <row r="14" ht="14.25" customHeight="1">
      <c r="B14" s="102"/>
      <c r="C14" s="89"/>
      <c r="D14" s="89"/>
      <c r="E14" s="89"/>
      <c r="F14" s="87"/>
      <c r="G14" s="87"/>
    </row>
    <row r="15" ht="14.25" customHeight="1">
      <c r="B15" s="102"/>
      <c r="C15" s="89"/>
      <c r="D15" s="89"/>
      <c r="E15" s="89"/>
      <c r="F15" s="87"/>
      <c r="G15" s="87"/>
    </row>
    <row r="16" ht="14.25" customHeight="1">
      <c r="B16" s="102"/>
      <c r="C16" s="89"/>
      <c r="D16" s="89"/>
      <c r="E16" s="89"/>
      <c r="F16" s="87"/>
      <c r="G16" s="87"/>
    </row>
    <row r="17" ht="14.25" customHeight="1">
      <c r="B17" s="102"/>
      <c r="C17" s="89"/>
      <c r="D17" s="89"/>
      <c r="E17" s="89"/>
      <c r="F17" s="87"/>
      <c r="G17" s="87"/>
    </row>
    <row r="18" ht="14.25" customHeight="1">
      <c r="B18" s="102"/>
      <c r="C18" s="89"/>
      <c r="D18" s="89"/>
      <c r="E18" s="89"/>
      <c r="F18" s="87"/>
      <c r="G18" s="87"/>
    </row>
    <row r="19" ht="14.25" customHeight="1">
      <c r="B19" s="102"/>
      <c r="C19" s="89"/>
      <c r="D19" s="89"/>
      <c r="E19" s="89"/>
      <c r="F19" s="87"/>
      <c r="G19" s="87"/>
    </row>
    <row r="20" ht="14.25" customHeight="1">
      <c r="B20" s="102"/>
      <c r="C20" s="89"/>
      <c r="D20" s="89"/>
      <c r="E20" s="89"/>
      <c r="F20" s="87"/>
      <c r="G20" s="87"/>
    </row>
    <row r="21" ht="14.25" customHeight="1">
      <c r="B21" s="102"/>
      <c r="C21" s="89"/>
      <c r="D21" s="89"/>
      <c r="E21" s="89"/>
      <c r="F21" s="87"/>
      <c r="G21" s="87"/>
    </row>
    <row r="22" ht="14.25" customHeight="1">
      <c r="B22" s="102"/>
      <c r="C22" s="89"/>
      <c r="D22" s="89"/>
      <c r="E22" s="89"/>
      <c r="F22" s="87"/>
      <c r="G22" s="87"/>
    </row>
    <row r="23" ht="14.25" customHeight="1">
      <c r="B23" s="102"/>
      <c r="C23" s="89"/>
      <c r="D23" s="89"/>
      <c r="E23" s="89"/>
      <c r="F23" s="87"/>
      <c r="G23" s="87"/>
    </row>
    <row r="24" ht="14.25" customHeight="1">
      <c r="B24" s="102"/>
      <c r="C24" s="89"/>
      <c r="D24" s="89"/>
      <c r="E24" s="89"/>
      <c r="F24" s="87"/>
      <c r="G24" s="87"/>
    </row>
    <row r="25" ht="14.25" customHeight="1">
      <c r="B25" s="102"/>
      <c r="C25" s="89"/>
      <c r="D25" s="89"/>
      <c r="E25" s="89"/>
      <c r="F25" s="87"/>
      <c r="G25" s="87"/>
    </row>
    <row r="26" ht="14.25" customHeight="1">
      <c r="B26" s="102"/>
      <c r="C26" s="89"/>
      <c r="D26" s="89"/>
      <c r="E26" s="89"/>
      <c r="F26" s="87"/>
      <c r="G26" s="87"/>
    </row>
    <row r="27" ht="14.25" customHeight="1">
      <c r="B27" s="102"/>
      <c r="C27" s="89"/>
      <c r="D27" s="89"/>
      <c r="E27" s="89"/>
      <c r="F27" s="87"/>
      <c r="G27" s="87"/>
    </row>
    <row r="28" ht="14.25" customHeight="1">
      <c r="B28" s="102"/>
      <c r="C28" s="89"/>
      <c r="D28" s="89"/>
      <c r="E28" s="89"/>
      <c r="F28" s="87"/>
      <c r="G28" s="87"/>
    </row>
    <row r="29" ht="14.25" customHeight="1">
      <c r="B29" s="102"/>
      <c r="C29" s="89"/>
      <c r="D29" s="89"/>
      <c r="E29" s="89"/>
      <c r="F29" s="87"/>
      <c r="G29" s="87"/>
    </row>
    <row r="30" ht="14.25" customHeight="1">
      <c r="B30" s="102"/>
      <c r="C30" s="89"/>
      <c r="D30" s="89"/>
      <c r="E30" s="89"/>
      <c r="F30" s="87"/>
      <c r="G30" s="87"/>
    </row>
    <row r="31" ht="14.25" customHeight="1">
      <c r="B31" s="102"/>
      <c r="C31" s="89"/>
      <c r="D31" s="89"/>
      <c r="E31" s="89"/>
      <c r="F31" s="87"/>
      <c r="G31" s="87"/>
    </row>
    <row r="32" ht="14.25" customHeight="1">
      <c r="B32" s="102"/>
      <c r="C32" s="89"/>
      <c r="D32" s="89"/>
      <c r="E32" s="89"/>
      <c r="F32" s="87"/>
      <c r="G32" s="87"/>
    </row>
    <row r="33" ht="14.25" customHeight="1">
      <c r="B33" s="102"/>
      <c r="C33" s="89"/>
      <c r="D33" s="89"/>
      <c r="E33" s="89"/>
      <c r="F33" s="87"/>
      <c r="G33" s="87"/>
    </row>
    <row r="34" ht="14.25" customHeight="1">
      <c r="B34" s="102"/>
      <c r="C34" s="89"/>
      <c r="D34" s="89"/>
      <c r="E34" s="89"/>
      <c r="F34" s="87"/>
      <c r="G34" s="87"/>
    </row>
    <row r="35" ht="14.25" customHeight="1">
      <c r="B35" s="102"/>
      <c r="C35" s="89"/>
      <c r="D35" s="89"/>
      <c r="E35" s="89"/>
      <c r="F35" s="87"/>
      <c r="G35" s="87"/>
    </row>
    <row r="36" ht="14.25" customHeight="1">
      <c r="B36" s="102"/>
      <c r="C36" s="89"/>
      <c r="D36" s="89"/>
      <c r="E36" s="89"/>
      <c r="F36" s="87"/>
      <c r="G36" s="87"/>
    </row>
    <row r="37" ht="14.25" customHeight="1">
      <c r="B37" s="102"/>
      <c r="C37" s="89"/>
      <c r="D37" s="89"/>
      <c r="E37" s="89"/>
      <c r="F37" s="87"/>
      <c r="G37" s="87"/>
    </row>
    <row r="38" ht="14.25" customHeight="1">
      <c r="B38" s="102"/>
      <c r="C38" s="89"/>
      <c r="D38" s="89"/>
      <c r="E38" s="89"/>
      <c r="F38" s="87"/>
      <c r="G38" s="87"/>
    </row>
    <row r="39" ht="14.25" customHeight="1">
      <c r="B39" s="102"/>
      <c r="C39" s="89"/>
      <c r="D39" s="89"/>
      <c r="E39" s="89"/>
      <c r="F39" s="87"/>
      <c r="G39" s="87"/>
    </row>
    <row r="40" ht="14.25" customHeight="1">
      <c r="B40" s="102"/>
      <c r="C40" s="89"/>
      <c r="D40" s="89"/>
      <c r="E40" s="89"/>
      <c r="F40" s="87"/>
      <c r="G40" s="87"/>
    </row>
    <row r="41" ht="14.25" customHeight="1">
      <c r="B41" s="123"/>
      <c r="C41" s="87"/>
      <c r="D41" s="87"/>
      <c r="E41" s="87"/>
      <c r="F41" s="87"/>
      <c r="G41" s="87"/>
    </row>
    <row r="42" ht="14.25" customHeight="1">
      <c r="B42" s="123"/>
      <c r="C42" s="87"/>
      <c r="D42" s="87"/>
      <c r="E42" s="87"/>
      <c r="F42" s="87"/>
      <c r="G42" s="87"/>
    </row>
    <row r="43" ht="14.25" customHeight="1">
      <c r="B43" s="123"/>
      <c r="C43" s="87"/>
      <c r="D43" s="87"/>
      <c r="E43" s="87"/>
      <c r="F43" s="87"/>
      <c r="G43" s="87"/>
    </row>
    <row r="44" ht="14.25" customHeight="1">
      <c r="B44" s="123"/>
      <c r="C44" s="87"/>
      <c r="D44" s="87"/>
      <c r="E44" s="87"/>
      <c r="F44" s="87"/>
      <c r="G44" s="87"/>
    </row>
    <row r="45" ht="14.25" customHeight="1">
      <c r="B45" s="123"/>
      <c r="C45" s="87"/>
      <c r="D45" s="87"/>
      <c r="E45" s="87"/>
      <c r="F45" s="87"/>
      <c r="G45" s="87"/>
    </row>
    <row r="46" ht="14.25" customHeight="1">
      <c r="B46" s="123"/>
      <c r="C46" s="87"/>
      <c r="D46" s="87"/>
      <c r="E46" s="87"/>
      <c r="F46" s="87"/>
      <c r="G46" s="87"/>
    </row>
    <row r="47" ht="14.25" customHeight="1">
      <c r="B47" s="123"/>
      <c r="C47" s="87"/>
      <c r="D47" s="87"/>
      <c r="E47" s="87"/>
      <c r="F47" s="87"/>
      <c r="G47" s="87"/>
    </row>
    <row r="48" ht="14.25" customHeight="1">
      <c r="B48" s="123"/>
      <c r="C48" s="87"/>
      <c r="D48" s="87"/>
      <c r="E48" s="87"/>
      <c r="F48" s="87"/>
      <c r="G48" s="87"/>
    </row>
    <row r="49" ht="14.25" customHeight="1">
      <c r="B49" s="123"/>
      <c r="C49" s="87"/>
      <c r="D49" s="87"/>
      <c r="E49" s="87"/>
      <c r="F49" s="87"/>
      <c r="G49" s="87"/>
    </row>
    <row r="50" ht="14.25" customHeight="1">
      <c r="B50" s="123"/>
      <c r="C50" s="87"/>
      <c r="D50" s="87"/>
      <c r="E50" s="87"/>
      <c r="F50" s="87"/>
      <c r="G50" s="87"/>
    </row>
    <row r="51" ht="14.25" customHeight="1">
      <c r="B51" s="123"/>
      <c r="C51" s="87"/>
      <c r="D51" s="87"/>
      <c r="E51" s="87"/>
      <c r="F51" s="87"/>
      <c r="G51" s="87"/>
    </row>
    <row r="52" ht="14.25" customHeight="1">
      <c r="B52" s="123"/>
      <c r="C52" s="87"/>
      <c r="D52" s="87"/>
      <c r="E52" s="87"/>
      <c r="F52" s="87"/>
      <c r="G52" s="87"/>
    </row>
    <row r="53" ht="14.25" customHeight="1">
      <c r="B53" s="123"/>
      <c r="C53" s="87"/>
      <c r="D53" s="87"/>
      <c r="E53" s="87"/>
      <c r="F53" s="87"/>
      <c r="G53" s="87"/>
    </row>
    <row r="54" ht="14.25" customHeight="1">
      <c r="B54" s="123"/>
      <c r="C54" s="87"/>
      <c r="D54" s="87"/>
      <c r="E54" s="87"/>
      <c r="F54" s="87"/>
      <c r="G54" s="87"/>
    </row>
    <row r="55" ht="14.25" customHeight="1">
      <c r="B55" s="123"/>
      <c r="C55" s="87"/>
      <c r="D55" s="87"/>
      <c r="E55" s="87"/>
      <c r="F55" s="87"/>
      <c r="G55" s="87"/>
    </row>
    <row r="56" ht="14.25" customHeight="1">
      <c r="B56" s="123"/>
      <c r="C56" s="87"/>
      <c r="D56" s="87"/>
      <c r="E56" s="87"/>
      <c r="F56" s="87"/>
      <c r="G56" s="87"/>
    </row>
    <row r="57" ht="14.25" customHeight="1">
      <c r="B57" s="123"/>
      <c r="C57" s="87"/>
      <c r="D57" s="87"/>
      <c r="E57" s="87"/>
      <c r="F57" s="87"/>
      <c r="G57" s="87"/>
    </row>
    <row r="58" ht="14.25" customHeight="1">
      <c r="B58" s="123"/>
      <c r="C58" s="87"/>
      <c r="D58" s="87"/>
      <c r="E58" s="87"/>
      <c r="F58" s="87"/>
      <c r="G58" s="87"/>
    </row>
    <row r="59" ht="14.25" customHeight="1">
      <c r="B59" s="123"/>
      <c r="C59" s="87"/>
      <c r="D59" s="87"/>
      <c r="E59" s="87"/>
      <c r="F59" s="87"/>
      <c r="G59" s="87"/>
    </row>
    <row r="60" ht="14.25" customHeight="1">
      <c r="B60" s="123"/>
      <c r="C60" s="87"/>
      <c r="D60" s="87"/>
      <c r="E60" s="87"/>
      <c r="F60" s="87"/>
      <c r="G60" s="87"/>
    </row>
    <row r="61" ht="14.25" customHeight="1">
      <c r="B61" s="123"/>
      <c r="C61" s="87"/>
      <c r="D61" s="87"/>
      <c r="E61" s="87"/>
      <c r="F61" s="87"/>
      <c r="G61" s="87"/>
    </row>
    <row r="62" ht="14.25" customHeight="1">
      <c r="B62" s="123"/>
      <c r="C62" s="87"/>
      <c r="D62" s="87"/>
      <c r="E62" s="87"/>
      <c r="F62" s="87"/>
      <c r="G62" s="87"/>
    </row>
    <row r="63" ht="14.25" customHeight="1">
      <c r="B63" s="123"/>
      <c r="C63" s="87"/>
      <c r="D63" s="87"/>
      <c r="E63" s="87"/>
      <c r="F63" s="87"/>
      <c r="G63" s="87"/>
    </row>
    <row r="64" ht="14.25" customHeight="1">
      <c r="B64" s="123"/>
      <c r="C64" s="87"/>
      <c r="D64" s="87"/>
      <c r="E64" s="87"/>
      <c r="F64" s="87"/>
      <c r="G64" s="87"/>
    </row>
    <row r="65" ht="14.25" customHeight="1">
      <c r="B65" s="123"/>
      <c r="C65" s="87"/>
      <c r="D65" s="87"/>
      <c r="E65" s="87"/>
      <c r="F65" s="87"/>
      <c r="G65" s="87"/>
    </row>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CI_Template" location="CI_Template!A1" ref="B3"/>
    <hyperlink display="Course_Index" location="Course_Index!A1" ref="B4"/>
    <hyperlink display="CI_Template" location="CI_Template!A1" ref="B5"/>
    <hyperlink display="Course_Index" location="Course_Index!A1" ref="B6"/>
    <hyperlink display="CI_Explanation" location="CI_Explanation!A1" ref="B7"/>
    <hyperlink display="Example_SHPP 2102" location="null!A1" ref="B8"/>
  </hyperlink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2022-07-04T07:16:58Z</dcterms:created>
  <dc:creator>Amri</dc:creator>
</cp:coreProperties>
</file>