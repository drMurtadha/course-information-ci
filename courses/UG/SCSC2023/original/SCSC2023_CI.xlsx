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SC2023_CI" sheetId="1" state="visible" r:id="rId3"/>
  </sheets>
  <definedNames>
    <definedName function="false" hidden="false" localSheetId="0" name="_xlnm.Print_Area" vbProcedure="false">SCSC2023_CI!$A$1:$O$116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<sst xmlns="http://schemas.openxmlformats.org/spreadsheetml/2006/main" count="207" uniqueCount="171">
  <si>
    <t xml:space="preserve">COURSE INFORMATION</t>
  </si>
  <si>
    <t xml:space="preserve">Digitised from original PDF ("5 - SCSC2023 Computer Architecture &amp; Assembly Language v9.pdf"). No VBE/ESD mapping decision has been made yet for this course — this is the ORIGINAL content only.</t>
  </si>
  <si>
    <t xml:space="preserve">School/Faculty:</t>
  </si>
  <si>
    <t xml:space="preserve">Faculty of Computing</t>
  </si>
  <si>
    <t xml:space="preserve">Program name:</t>
  </si>
  <si>
    <t xml:space="preserve">BSc in Computer Science (Computer Networks and Cyber Security) with honour</t>
  </si>
  <si>
    <t xml:space="preserve">Course code:</t>
  </si>
  <si>
    <t xml:space="preserve">SCSC2023</t>
  </si>
  <si>
    <t xml:space="preserve">Academic Session/Semester:</t>
  </si>
  <si>
    <t xml:space="preserve">20262027/1</t>
  </si>
  <si>
    <t xml:space="preserve">Course name:</t>
  </si>
  <si>
    <t xml:space="preserve">Computer Architecture &amp; Assembly Language</t>
  </si>
  <si>
    <t xml:space="preserve">Pre/co requisite (course name and code, if applicable):</t>
  </si>
  <si>
    <t xml:space="preserve">SCSC1013 Computer System &amp; Organization</t>
  </si>
  <si>
    <t xml:space="preserve">Credit hours:</t>
  </si>
  <si>
    <t xml:space="preserve">3</t>
  </si>
  <si>
    <t xml:space="preserve">Course synopsis</t>
  </si>
  <si>
    <t xml:space="preserve">This course introduces students to the principles of computer architecture and assembly language programming, bridging the gap between hardware and software systems. Students will explore topics such as CPU architecture and microarchitecture, instruction set architectures, floating-point representation and arithmetic, performance evaluation, and advanced architectural concepts. The course also covers assembly language programming using 32-bit x86 processors, including data transfer, addressing modes, arithmetic and logical operations, procedures, conditional execution, and bitwise manipulation. Through lectures, laboratory sessions, and project-based learning, students gain hands-on experience in writing low-level programs and using simulators to analyze and debug system behavior. By the end of the course, students will be able to analyze architectural designs, apply assembly programming principles, and collaboratively implement real-world solutions using structured problem-solving and low-level programming techniques.</t>
  </si>
  <si>
    <t xml:space="preserve">Course coordinator (if applicable)</t>
  </si>
  <si>
    <t xml:space="preserve">Mohd Foad Bin Rohani, Dr.</t>
  </si>
  <si>
    <t xml:space="preserve">Course lecturer(s)</t>
  </si>
  <si>
    <t xml:space="preserve">Name</t>
  </si>
  <si>
    <t xml:space="preserve">Office</t>
  </si>
  <si>
    <t xml:space="preserve">Contact no.</t>
  </si>
  <si>
    <t xml:space="preserve">E-mail</t>
  </si>
  <si>
    <t xml:space="preserve">N28-347-05</t>
  </si>
  <si>
    <t xml:space="preserve">—</t>
  </si>
  <si>
    <t xml:space="preserve">foad@utm.my</t>
  </si>
  <si>
    <t xml:space="preserve">Mapping of the Course Learning Outcomes (CLO) to the Programme Learning Outcomes (PLO), Teaching &amp; Learning (T&amp;L) methods and Assessment methods:</t>
  </si>
  <si>
    <t xml:space="preserve">No.</t>
  </si>
  <si>
    <t xml:space="preserve">CLO</t>
  </si>
  <si>
    <t xml:space="preserve">PLO (MQF Cluster Code)</t>
  </si>
  <si>
    <t xml:space="preserve">Taxonomies &amp; Graduate Attributes</t>
  </si>
  <si>
    <t xml:space="preserve">T&amp;L methods</t>
  </si>
  <si>
    <t xml:space="preserve">Assessment methods</t>
  </si>
  <si>
    <t xml:space="preserve">CLO1</t>
  </si>
  <si>
    <t xml:space="preserve">Analyze the fundamental principles of computer architecture design by utilizing systems thinking to organize and integrate key components effectively.</t>
  </si>
  <si>
    <t xml:space="preserve">PLO1 (C1)</t>
  </si>
  <si>
    <t xml:space="preserve">C4 / SC1</t>
  </si>
  <si>
    <t xml:space="preserve">Lectures</t>
  </si>
  <si>
    <t xml:space="preserve">Q, T</t>
  </si>
  <si>
    <t xml:space="preserve">CLO2</t>
  </si>
  <si>
    <t xml:space="preserve">Evaluate the fundamental principles of assembly language programming by using strategic thinking to integrate and organize key programming concepts effectively, including code quality, testing, and maintainability considerations.</t>
  </si>
  <si>
    <t xml:space="preserve">PLO2 (C2)</t>
  </si>
  <si>
    <t xml:space="preserve">C5 / SC2</t>
  </si>
  <si>
    <t xml:space="preserve">Q, F</t>
  </si>
  <si>
    <t xml:space="preserve">CLO3</t>
  </si>
  <si>
    <t xml:space="preserve">Practice using simulation tools to design computer architecture components and debug assembly language programs, demonstrating integrated problem solving to enhance accuracy and effectiveness in simulation and program development, including modular design and structured testing practices.</t>
  </si>
  <si>
    <t xml:space="preserve">PLO3 (C3A)</t>
  </si>
  <si>
    <t xml:space="preserve">P3 / SC3</t>
  </si>
  <si>
    <t xml:space="preserve">Hands-on Lab</t>
  </si>
  <si>
    <t xml:space="preserve">L</t>
  </si>
  <si>
    <t xml:space="preserve">CLO4</t>
  </si>
  <si>
    <t xml:space="preserve">Demonstrate an assembly language program that addresses practical problems or explores advanced concepts in computer architecture, using collaborative skills to enhance problem-solving through teamwork and shared insights, with appropriate code documentation and modular implementation.</t>
  </si>
  <si>
    <t xml:space="preserve">PLO4 (C3B)</t>
  </si>
  <si>
    <t xml:space="preserve">A4 / A(SI1)</t>
  </si>
  <si>
    <t xml:space="preserve">Project-based Learning</t>
  </si>
  <si>
    <t xml:space="preserve">PR</t>
  </si>
  <si>
    <t xml:space="preserve">Notes: This is the basic mapping required for the CI. Any added information is allowed (extra columns for weight or other elements) provided this is made consistent for all CI at program/school/faculty level. * Up to 5 CLO. Refer *** Taxonomies of Learning and **** UTM's Graduate Attributes for UG and Generic Skills for PG, where applicable for measurement of outcomes achievement. ***** L – Lab; T – Test; Q – Quiz; PR – Project; F – Final Exam.</t>
  </si>
  <si>
    <t xml:space="preserve">** MQF Cluster Code: C1 = Knowledge &amp; Understanding, C2 = Cognitive Skills, C3A = Practical Skills, C3B = Interpersonal Skills, C3C = Communication Skills, C3D = Digital Skills, C3E = Numeracy Skills, C3F = Leadership, Autonomy &amp; Responsibility, C4A = Personal Skills, C4B = Entrepreneurial Skills, C5 = Ethics &amp; Professionalism</t>
  </si>
  <si>
    <t xml:space="preserve">VBE (Value Based Education) / ESD mapping: not yet decided for this course — to be completed in the updated CI once the VBE decision is made (see references/panduan-vbe-esd/).</t>
  </si>
  <si>
    <t xml:space="preserve">Details on Innovative T&amp;L practices:</t>
  </si>
  <si>
    <t xml:space="preserve">Type</t>
  </si>
  <si>
    <t xml:space="preserve">Implementation</t>
  </si>
  <si>
    <t xml:space="preserve">1</t>
  </si>
  <si>
    <t xml:space="preserve">Implemented via structured lab sessions that emphasize practical application of concepts through tools, software, or hardware.</t>
  </si>
  <si>
    <t xml:space="preserve">2</t>
  </si>
  <si>
    <t xml:space="preserve">Students in a group of four (4) are assigned a project to design and implement assembly programming solution for a real-world problem by integrating theory and appropriate tools. They also need to evaluate the implementation of the project. The project is divided into several deliverables.</t>
  </si>
  <si>
    <t xml:space="preserve">Transferable skills (generic skills learning in course of study which can be useful and utilised in other settings):</t>
  </si>
  <si>
    <t xml:space="preserve">This course develops transferable skills by engaging students in both theoretical and practical aspects of computer architecture and assembly language. Through lectures, hands-on labs, and group projects, students enhance their problem-solving, system thinking, and technical skills. Practical tasks using simulators and low-level programming help build attention to detail and precision. Collaborative project work improves teamwork and communication abilities as students work together to design and implement real-world solutions. These experiences also promote strategic thinking and the ability to apply structured approaches—skills that are useful across a range of academic and professional settings.</t>
  </si>
  <si>
    <t xml:space="preserve">Student Learning Time (SLT) / Effective Learning Time (ELT) details:</t>
  </si>
  <si>
    <t xml:space="preserve">Week/
Meeting</t>
  </si>
  <si>
    <t xml:space="preserve">Course Content Outline and Subtopics</t>
  </si>
  <si>
    <t xml:space="preserve">Face-to-Face (F2F)</t>
  </si>
  <si>
    <t xml:space="preserve">Non-F2F Independent Learning</t>
  </si>
  <si>
    <t xml:space="preserve">TOTAL
SLT</t>
  </si>
  <si>
    <t xml:space="preserve">Physical</t>
  </si>
  <si>
    <t xml:space="preserve">Online (Synchronous)</t>
  </si>
  <si>
    <t xml:space="preserve">T</t>
  </si>
  <si>
    <t xml:space="preserve">P</t>
  </si>
  <si>
    <t xml:space="preserve">O</t>
  </si>
  <si>
    <t xml:space="preserve">Online (Async)</t>
  </si>
  <si>
    <t xml:space="preserve">Others</t>
  </si>
  <si>
    <t xml:space="preserve">Week 1</t>
  </si>
  <si>
    <t xml:space="preserve">Introduction to Computer Architecture</t>
  </si>
  <si>
    <t xml:space="preserve">Week 2</t>
  </si>
  <si>
    <t xml:space="preserve">Floating Point Representation and Arithmetic 1</t>
  </si>
  <si>
    <t xml:space="preserve">Week 3</t>
  </si>
  <si>
    <t xml:space="preserve">Floating Point Representation and Arithmetic 2</t>
  </si>
  <si>
    <t xml:space="preserve">Week 4</t>
  </si>
  <si>
    <t xml:space="preserve">Instruction Set Architectures (ISAs) - RISC &amp; CISC</t>
  </si>
  <si>
    <t xml:space="preserve">Week 5</t>
  </si>
  <si>
    <t xml:space="preserve">CPU Architecture and Microarchitecture 1</t>
  </si>
  <si>
    <t xml:space="preserve">Week 6</t>
  </si>
  <si>
    <t xml:space="preserve">CPU Architecture and Microarchitecture 2</t>
  </si>
  <si>
    <t xml:space="preserve">CLO1, CLO3</t>
  </si>
  <si>
    <t xml:space="preserve">Week 7</t>
  </si>
  <si>
    <t xml:space="preserve">Performance Measurements and Analysis</t>
  </si>
  <si>
    <t xml:space="preserve">CLO1, CLO4</t>
  </si>
  <si>
    <t xml:space="preserve">Week 8</t>
  </si>
  <si>
    <t xml:space="preserve">Semester Break</t>
  </si>
  <si>
    <t xml:space="preserve">Week 9</t>
  </si>
  <si>
    <t xml:space="preserve">Introduction to 32-Bit x86 Processors (1W)</t>
  </si>
  <si>
    <t xml:space="preserve">Week 10</t>
  </si>
  <si>
    <t xml:space="preserve">Assembly Language Fundamentals</t>
  </si>
  <si>
    <t xml:space="preserve">Week 11</t>
  </si>
  <si>
    <t xml:space="preserve">Data Transfers, Addressing, and Arithmetic 1</t>
  </si>
  <si>
    <t xml:space="preserve">CLO2, CLO3</t>
  </si>
  <si>
    <t xml:space="preserve">Week 12</t>
  </si>
  <si>
    <t xml:space="preserve">Data Transfers, Addressing, and Arithmetic 2</t>
  </si>
  <si>
    <t xml:space="preserve">Week 13</t>
  </si>
  <si>
    <t xml:space="preserve">Procedures and Function Calls</t>
  </si>
  <si>
    <t xml:space="preserve">CLO2, CLO3, CLO4</t>
  </si>
  <si>
    <t xml:space="preserve">Week 14</t>
  </si>
  <si>
    <t xml:space="preserve">Conditional Processing</t>
  </si>
  <si>
    <t xml:space="preserve">CLO2, CLO4</t>
  </si>
  <si>
    <t xml:space="preserve">Week 15</t>
  </si>
  <si>
    <t xml:space="preserve">Boolean and Bitwise Operations</t>
  </si>
  <si>
    <t xml:space="preserve">SUB-TOTAL SLT:</t>
  </si>
  <si>
    <t xml:space="preserve">Continuous Assessment:</t>
  </si>
  <si>
    <t xml:space="preserve">Continuous Assessment</t>
  </si>
  <si>
    <t xml:space="preserve">%</t>
  </si>
  <si>
    <t xml:space="preserve">F2F Physical</t>
  </si>
  <si>
    <t xml:space="preserve">Non-F2F Independent (Async)</t>
  </si>
  <si>
    <t xml:space="preserve">Total
SLT</t>
  </si>
  <si>
    <t xml:space="preserve">Lab</t>
  </si>
  <si>
    <t xml:space="preserve">Quiz</t>
  </si>
  <si>
    <t xml:space="preserve">Test</t>
  </si>
  <si>
    <t xml:space="preserve">4</t>
  </si>
  <si>
    <t xml:space="preserve">Project</t>
  </si>
  <si>
    <t xml:space="preserve">Final Assessment:</t>
  </si>
  <si>
    <t xml:space="preserve">Final Assessment</t>
  </si>
  <si>
    <t xml:space="preserve">Final Exam</t>
  </si>
  <si>
    <t xml:space="preserve">SLT for Assessment:</t>
  </si>
  <si>
    <t xml:space="preserve">GRAND TOTAL SLT:</t>
  </si>
  <si>
    <t xml:space="preserve">A</t>
  </si>
  <si>
    <t xml:space="preserve">% SLT for F2F Physical Component:</t>
  </si>
  <si>
    <t xml:space="preserve">B</t>
  </si>
  <si>
    <t xml:space="preserve">% SLT for Online &amp; Independent Learning Component:</t>
  </si>
  <si>
    <t xml:space="preserve">C</t>
  </si>
  <si>
    <t xml:space="preserve">% SLT for Online Component:</t>
  </si>
  <si>
    <t xml:space="preserve">D</t>
  </si>
  <si>
    <t xml:space="preserve">% SLT for All Practical Component:</t>
  </si>
  <si>
    <t xml:space="preserve">D1</t>
  </si>
  <si>
    <t xml:space="preserve">% SLT for F2F Physical Practical Component:</t>
  </si>
  <si>
    <t xml:space="preserve">D2</t>
  </si>
  <si>
    <t xml:space="preserve">% SLT for F2F Online Practical Component:</t>
  </si>
  <si>
    <t xml:space="preserve">Please tick (✔) if this course is Industrial Training / Clinical Placement / Practicum using 50% of Effective Learning Time (ELT):   ☐ (not ticked in original CI)</t>
  </si>
  <si>
    <t xml:space="preserve">Identify special requirement or resources to deliver the course (e.g., software, nursery, computer lab, simulation room etc):</t>
  </si>
  <si>
    <t xml:space="preserve">Visual Studio 2019</t>
  </si>
  <si>
    <t xml:space="preserve">References:</t>
  </si>
  <si>
    <t xml:space="preserve">1. Elahi, A. (2022). Computer systems: Digital design, fundamentals of computer architecture and ARM assembly language. Springer. https://doi.org/10.1007/978-3-030-93449-1</t>
  </si>
  <si>
    <t xml:space="preserve">2. Irvine, K. (2019). Assembly language for x86 processors (8th ed.). Pearson Education.</t>
  </si>
  <si>
    <t xml:space="preserve">3. Ledin, J. (2022). Modern computer architecture and organization: Learn x86, ARM, and RISC-V architectures and the design of smartphones, PCs, and cloud servers. Packt Publishing.</t>
  </si>
  <si>
    <t xml:space="preserve">4. Patterson, D. A., &amp; Hennessy, J. L. (2011). Computer organization and design: The hardware/software interface (5th ed.). Morgan Kaufmann.</t>
  </si>
  <si>
    <t xml:space="preserve">5. Stallings, W. (2019). Computer organization and architecture: Designing for performance (11th ed.). Pearson.</t>
  </si>
  <si>
    <t xml:space="preserve">Academic honesty and plagiarism:</t>
  </si>
  <si>
    <t xml:space="preserve">Assignments are individual tasks and NOT group activities (UNLESS EXPLICITLY INDICATED AS GROUP ACTIVITIES). Copying of work (texts, simulation results etc.) from other students/groups or from other sources is not allowed. Brief quotations are allowed and then only if indicated as such. Existing texts should be reformulated with your own words used to explain what you have read. It is not acceptable to retype existing texts and just acknowledge the source as a reference. Be warned: students who submit copied work will obtain a mark of zero for the assignment and disciplinary steps may be taken by the Faculty. It is also unacceptable to do somebody else's work, to lend your work to them or to make your work available to them to copy.</t>
  </si>
  <si>
    <t xml:space="preserve">Other additional information:</t>
  </si>
  <si>
    <t xml:space="preserve">All students must adhere to the following to pass a computing course:
i. Pass both Continuous Assessment AND Final Assessment.
ii. Get at least minimum pass marks following UTM regulation (40% or D+).
The passing mark for:
- Continuous Assessment is 30% of continuous marks.
- Final Assessment is 20% of the final marks.
If a student does not achieve the passing mark for Continuous Assessment OR the passing mark for the Final Assessment, then the student's overall final mark will be set below the UTM passing mark.</t>
  </si>
  <si>
    <t xml:space="preserve">Disclaimer:</t>
  </si>
  <si>
    <t xml:space="preserve">All teaching and learning materials associated with this course are for personal use only. The materials are intended for educational purposes only. Reproduction of the materials in any form for any purposes other than what it is intended for is prohibited. While every effort has been made to ensure the accuracy of the information supplied herein, Universiti Teknologi Malaysia cannot be held responsible for any errors or omissions.</t>
  </si>
  <si>
    <t xml:space="preserve">ELT = (Theory + Industrial Guidance + Assessment) x 50%</t>
  </si>
  <si>
    <t xml:space="preserve">Total of credit for LI/Practical = ELT/40 Notional Hours</t>
  </si>
  <si>
    <t xml:space="preserve">Note: For ODL Programme: Courses with mandatory practical requirement imposed by programme standards or any related standards can be exempted from complying to the minimum 80% ODL delivery rule in the SLT.</t>
  </si>
  <si>
    <t xml:space="preserve">Prepared by:</t>
  </si>
  <si>
    <t xml:space="preserve">Certified by:</t>
  </si>
  <si>
    <t xml:space="preserve">Name: Mohd Foad Bin Rohani, Dr.</t>
  </si>
  <si>
    <t xml:space="preserve">Name: Ismail Fauzi Bin Isnin, PM. Dr.</t>
  </si>
  <si>
    <t xml:space="preserve">Signature: </t>
  </si>
  <si>
    <t xml:space="preserve">Date: 25-Jan-2026</t>
  </si>
</sst>
</file>

<file path=xl/styles.xml><?xml version="1.0" encoding="utf-8"?>
<styleSheet xmlns="http://schemas.openxmlformats.org/spreadsheetml/2006/main">
  <numFmts count="3">
    <numFmt numFmtId="164" formatCode="General"/>
    <numFmt numFmtId="165" formatCode="0%"/>
    <numFmt numFmtId="166" formatCode="0.00%"/>
  </numFmts>
  <fonts count="10">
    <font>
      <sz val="11"/>
      <color theme="1"/>
      <name val="Calibri"/>
      <family val="2"/>
      <charset val="1"/>
    </font>
    <font>
      <sz val="10"/>
      <name val="Arial"/>
      <family val="0"/>
    </font>
    <font>
      <sz val="10"/>
      <name val="Arial"/>
      <family val="0"/>
    </font>
    <font>
      <sz val="10"/>
      <name val="Arial"/>
      <family val="0"/>
    </font>
    <font>
      <b val="true"/>
      <sz val="16"/>
      <name val="Calibri"/>
      <family val="0"/>
      <charset val="1"/>
    </font>
    <font>
      <i val="true"/>
      <sz val="8"/>
      <name val="Calibri"/>
      <family val="0"/>
      <charset val="1"/>
    </font>
    <font>
      <b val="true"/>
      <sz val="10"/>
      <name val="Calibri"/>
      <family val="0"/>
      <charset val="1"/>
    </font>
    <font>
      <sz val="10"/>
      <name val="Calibri"/>
      <family val="0"/>
      <charset val="1"/>
    </font>
    <font>
      <b val="true"/>
      <sz val="11"/>
      <name val="Calibri"/>
      <family val="0"/>
      <charset val="1"/>
    </font>
    <font>
      <b val="true"/>
      <i val="true"/>
      <sz val="9"/>
      <color rgb="FF9C5700"/>
      <name val="Calibri"/>
      <family val="0"/>
      <charset val="1"/>
    </font>
  </fonts>
  <fills count="3">
    <fill>
      <patternFill patternType="none"/>
    </fill>
    <fill>
      <patternFill patternType="gray125"/>
    </fill>
    <fill>
      <patternFill patternType="solid">
        <fgColor rgb="FFD9E2F3"/>
        <bgColor rgb="FFCCFFFF"/>
      </patternFill>
    </fill>
  </fills>
  <borders count="3">
    <border diagonalUp="false" diagonalDown="false">
      <left/>
      <right/>
      <top/>
      <bottom/>
      <diagonal/>
    </border>
    <border diagonalUp="false" diagonalDown="false">
      <left style="thin"/>
      <right/>
      <top style="thin"/>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true" indent="0" shrinkToFit="false"/>
      <protection locked="true" hidden="false"/>
    </xf>
    <xf numFmtId="164" fontId="6" fillId="2" borderId="2" xfId="0" applyFont="true" applyBorder="true" applyAlignment="true" applyProtection="false">
      <alignment horizontal="general" vertical="center"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center" textRotation="0" wrapText="fals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right" vertical="bottom" textRotation="0" wrapText="false" indent="0" shrinkToFit="false"/>
      <protection locked="true" hidden="false"/>
    </xf>
    <xf numFmtId="165" fontId="7" fillId="0" borderId="2" xfId="0" applyFont="true" applyBorder="true" applyAlignment="true" applyProtection="false">
      <alignment horizontal="center" vertical="center" textRotation="0" wrapText="true" indent="0" shrinkToFit="false"/>
      <protection locked="true" hidden="false"/>
    </xf>
    <xf numFmtId="166" fontId="6" fillId="0" borderId="2"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O1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2" style="0" width="30"/>
    <col collapsed="false" customWidth="true" hidden="false" outlineLevel="0" max="3" min="3" style="0" width="14"/>
    <col collapsed="false" customWidth="true" hidden="false" outlineLevel="0" max="8" min="4" style="0" width="9"/>
    <col collapsed="false" customWidth="true" hidden="false" outlineLevel="0" max="9" min="9" style="0" width="14"/>
    <col collapsed="false" customWidth="true" hidden="false" outlineLevel="0" max="10" min="10" style="0" width="9"/>
    <col collapsed="false" customWidth="true" hidden="false" outlineLevel="0" max="11" min="11" style="0" width="12"/>
    <col collapsed="false" customWidth="true" hidden="false" outlineLevel="0" max="15" min="12" style="0" width="9"/>
  </cols>
  <sheetData>
    <row r="2" customFormat="false" ht="19.7" hidden="false" customHeight="false" outlineLevel="0" collapsed="false">
      <c r="B2" s="1" t="s">
        <v>0</v>
      </c>
      <c r="C2" s="1"/>
      <c r="D2" s="1"/>
      <c r="E2" s="1"/>
      <c r="F2" s="1"/>
      <c r="G2" s="1"/>
      <c r="H2" s="1"/>
      <c r="I2" s="1"/>
      <c r="J2" s="1"/>
      <c r="K2" s="1"/>
      <c r="L2" s="1"/>
      <c r="M2" s="1"/>
      <c r="N2" s="1"/>
      <c r="O2" s="1"/>
    </row>
    <row r="3" customFormat="false" ht="24" hidden="false" customHeight="true" outlineLevel="0" collapsed="false">
      <c r="B3" s="2" t="s">
        <v>1</v>
      </c>
      <c r="C3" s="2"/>
      <c r="D3" s="2"/>
      <c r="E3" s="2"/>
      <c r="F3" s="2"/>
      <c r="G3" s="2"/>
      <c r="H3" s="2"/>
      <c r="I3" s="2"/>
      <c r="J3" s="2"/>
      <c r="K3" s="2"/>
      <c r="L3" s="2"/>
      <c r="M3" s="2"/>
      <c r="N3" s="2"/>
      <c r="O3" s="2"/>
    </row>
    <row r="5" customFormat="false" ht="15" hidden="false" customHeight="true" outlineLevel="0" collapsed="false">
      <c r="B5" s="3" t="s">
        <v>2</v>
      </c>
      <c r="C5" s="4" t="s">
        <v>3</v>
      </c>
      <c r="D5" s="4"/>
      <c r="E5" s="4"/>
      <c r="F5" s="4"/>
      <c r="G5" s="4"/>
      <c r="H5" s="4"/>
      <c r="I5" s="4"/>
      <c r="J5" s="4"/>
      <c r="K5" s="4"/>
      <c r="L5" s="4"/>
      <c r="M5" s="4"/>
      <c r="N5" s="4"/>
      <c r="O5" s="4"/>
    </row>
    <row r="6" customFormat="false" ht="15" hidden="false" customHeight="true" outlineLevel="0" collapsed="false">
      <c r="B6" s="3" t="s">
        <v>4</v>
      </c>
      <c r="C6" s="4" t="s">
        <v>5</v>
      </c>
      <c r="D6" s="4"/>
      <c r="E6" s="4"/>
      <c r="F6" s="4"/>
      <c r="G6" s="4"/>
      <c r="H6" s="4"/>
      <c r="I6" s="4"/>
      <c r="J6" s="4"/>
      <c r="K6" s="4"/>
      <c r="L6" s="4"/>
      <c r="M6" s="4"/>
      <c r="N6" s="4"/>
      <c r="O6" s="4"/>
    </row>
    <row r="7" customFormat="false" ht="15" hidden="false" customHeight="true" outlineLevel="0" collapsed="false">
      <c r="B7" s="3" t="s">
        <v>6</v>
      </c>
      <c r="C7" s="4" t="s">
        <v>7</v>
      </c>
      <c r="D7" s="4"/>
      <c r="E7" s="4"/>
      <c r="F7" s="4"/>
      <c r="G7" s="4"/>
      <c r="H7" s="4"/>
      <c r="I7" s="3" t="s">
        <v>8</v>
      </c>
      <c r="J7" s="3"/>
      <c r="K7" s="4" t="s">
        <v>9</v>
      </c>
      <c r="L7" s="4"/>
      <c r="M7" s="4"/>
      <c r="N7" s="4"/>
      <c r="O7" s="4"/>
    </row>
    <row r="8" customFormat="false" ht="30.55" hidden="false" customHeight="true" outlineLevel="0" collapsed="false">
      <c r="B8" s="3" t="s">
        <v>10</v>
      </c>
      <c r="C8" s="4" t="s">
        <v>11</v>
      </c>
      <c r="D8" s="4"/>
      <c r="E8" s="4"/>
      <c r="F8" s="4"/>
      <c r="G8" s="4"/>
      <c r="H8" s="4"/>
      <c r="I8" s="3" t="s">
        <v>12</v>
      </c>
      <c r="J8" s="3"/>
      <c r="K8" s="4" t="s">
        <v>13</v>
      </c>
      <c r="L8" s="4"/>
      <c r="M8" s="4"/>
      <c r="N8" s="4"/>
      <c r="O8" s="4"/>
    </row>
    <row r="9" customFormat="false" ht="15" hidden="false" customHeight="true" outlineLevel="0" collapsed="false">
      <c r="B9" s="3" t="s">
        <v>14</v>
      </c>
      <c r="C9" s="4" t="s">
        <v>15</v>
      </c>
      <c r="D9" s="4"/>
      <c r="E9" s="4"/>
      <c r="F9" s="4"/>
      <c r="G9" s="4"/>
      <c r="H9" s="4"/>
      <c r="I9" s="4"/>
      <c r="J9" s="4"/>
      <c r="K9" s="4"/>
      <c r="L9" s="4"/>
      <c r="M9" s="4"/>
      <c r="N9" s="4"/>
      <c r="O9" s="4"/>
    </row>
    <row r="10" customFormat="false" ht="30" hidden="false" customHeight="true" outlineLevel="0" collapsed="false">
      <c r="B10" s="3" t="s">
        <v>16</v>
      </c>
      <c r="C10" s="4" t="s">
        <v>17</v>
      </c>
      <c r="D10" s="4"/>
      <c r="E10" s="4"/>
      <c r="F10" s="4"/>
      <c r="G10" s="4"/>
      <c r="H10" s="4"/>
      <c r="I10" s="4"/>
      <c r="J10" s="4"/>
      <c r="K10" s="4"/>
      <c r="L10" s="4"/>
      <c r="M10" s="4"/>
      <c r="N10" s="4"/>
      <c r="O10" s="4"/>
    </row>
    <row r="11" customFormat="false" ht="30" hidden="false" customHeight="true" outlineLevel="0" collapsed="false">
      <c r="B11" s="3"/>
      <c r="C11" s="3"/>
      <c r="D11" s="4"/>
      <c r="E11" s="4"/>
      <c r="F11" s="4"/>
      <c r="G11" s="4"/>
      <c r="H11" s="4"/>
      <c r="I11" s="4"/>
      <c r="J11" s="4"/>
      <c r="K11" s="4"/>
      <c r="L11" s="4"/>
      <c r="M11" s="4"/>
      <c r="N11" s="4"/>
      <c r="O11" s="4"/>
    </row>
    <row r="12" customFormat="false" ht="30" hidden="false" customHeight="true" outlineLevel="0" collapsed="false">
      <c r="B12" s="3"/>
      <c r="C12" s="3"/>
      <c r="D12" s="4"/>
      <c r="E12" s="4"/>
      <c r="F12" s="4"/>
      <c r="G12" s="4"/>
      <c r="H12" s="4"/>
      <c r="I12" s="4"/>
      <c r="J12" s="4"/>
      <c r="K12" s="4"/>
      <c r="L12" s="4"/>
      <c r="M12" s="4"/>
      <c r="N12" s="4"/>
      <c r="O12" s="4"/>
    </row>
    <row r="13" customFormat="false" ht="30" hidden="false" customHeight="true" outlineLevel="0" collapsed="false">
      <c r="B13" s="3"/>
      <c r="C13" s="3"/>
      <c r="D13" s="4"/>
      <c r="E13" s="4"/>
      <c r="F13" s="4"/>
      <c r="G13" s="4"/>
      <c r="H13" s="4"/>
      <c r="I13" s="4"/>
      <c r="J13" s="4"/>
      <c r="K13" s="4"/>
      <c r="L13" s="4"/>
      <c r="M13" s="4"/>
      <c r="N13" s="4"/>
      <c r="O13" s="4"/>
    </row>
    <row r="14" customFormat="false" ht="15" hidden="false" customHeight="true" outlineLevel="0" collapsed="false">
      <c r="B14" s="3" t="s">
        <v>18</v>
      </c>
      <c r="C14" s="4" t="s">
        <v>19</v>
      </c>
      <c r="D14" s="4"/>
      <c r="E14" s="4"/>
      <c r="F14" s="4"/>
      <c r="G14" s="4"/>
      <c r="H14" s="4"/>
      <c r="I14" s="4"/>
      <c r="J14" s="4"/>
      <c r="K14" s="4"/>
      <c r="L14" s="4"/>
      <c r="M14" s="4"/>
      <c r="N14" s="4"/>
      <c r="O14" s="4"/>
    </row>
    <row r="15" customFormat="false" ht="15" hidden="false" customHeight="true" outlineLevel="0" collapsed="false">
      <c r="B15" s="3" t="s">
        <v>20</v>
      </c>
      <c r="C15" s="3" t="s">
        <v>21</v>
      </c>
      <c r="D15" s="3"/>
      <c r="E15" s="3"/>
      <c r="F15" s="3"/>
      <c r="G15" s="3" t="s">
        <v>22</v>
      </c>
      <c r="H15" s="3"/>
      <c r="I15" s="3"/>
      <c r="J15" s="3" t="s">
        <v>23</v>
      </c>
      <c r="K15" s="3"/>
      <c r="L15" s="3" t="s">
        <v>24</v>
      </c>
      <c r="M15" s="3"/>
      <c r="N15" s="3"/>
      <c r="O15" s="3"/>
    </row>
    <row r="16" customFormat="false" ht="15" hidden="false" customHeight="true" outlineLevel="0" collapsed="false">
      <c r="B16" s="3"/>
      <c r="C16" s="4" t="s">
        <v>19</v>
      </c>
      <c r="D16" s="4"/>
      <c r="E16" s="4"/>
      <c r="F16" s="4"/>
      <c r="G16" s="4" t="s">
        <v>25</v>
      </c>
      <c r="H16" s="4"/>
      <c r="I16" s="4"/>
      <c r="J16" s="4" t="s">
        <v>26</v>
      </c>
      <c r="K16" s="4"/>
      <c r="L16" s="4" t="s">
        <v>27</v>
      </c>
      <c r="M16" s="4"/>
      <c r="N16" s="4"/>
      <c r="O16" s="4"/>
    </row>
    <row r="18" customFormat="false" ht="15" hidden="false" customHeight="false" outlineLevel="0" collapsed="false">
      <c r="B18" s="5" t="s">
        <v>28</v>
      </c>
      <c r="C18" s="5"/>
      <c r="D18" s="5"/>
      <c r="E18" s="5"/>
      <c r="F18" s="5"/>
      <c r="G18" s="5"/>
      <c r="H18" s="5"/>
      <c r="I18" s="5"/>
      <c r="J18" s="5"/>
      <c r="K18" s="5"/>
      <c r="L18" s="5"/>
      <c r="M18" s="5"/>
      <c r="N18" s="5"/>
      <c r="O18" s="5"/>
    </row>
    <row r="19" customFormat="false" ht="30.55" hidden="false" customHeight="true" outlineLevel="0" collapsed="false">
      <c r="B19" s="3" t="s">
        <v>29</v>
      </c>
      <c r="C19" s="3" t="s">
        <v>30</v>
      </c>
      <c r="D19" s="3"/>
      <c r="E19" s="3"/>
      <c r="F19" s="3"/>
      <c r="G19" s="3"/>
      <c r="H19" s="3"/>
      <c r="I19" s="3" t="s">
        <v>31</v>
      </c>
      <c r="J19" s="3"/>
      <c r="K19" s="3" t="s">
        <v>32</v>
      </c>
      <c r="L19" s="3" t="s">
        <v>33</v>
      </c>
      <c r="M19" s="3"/>
      <c r="N19" s="3" t="s">
        <v>34</v>
      </c>
      <c r="O19" s="3"/>
    </row>
    <row r="20" customFormat="false" ht="39.75" hidden="false" customHeight="true" outlineLevel="0" collapsed="false">
      <c r="B20" s="6" t="s">
        <v>35</v>
      </c>
      <c r="C20" s="4" t="s">
        <v>36</v>
      </c>
      <c r="D20" s="4"/>
      <c r="E20" s="4"/>
      <c r="F20" s="4"/>
      <c r="G20" s="4"/>
      <c r="H20" s="4"/>
      <c r="I20" s="6" t="s">
        <v>37</v>
      </c>
      <c r="J20" s="6"/>
      <c r="K20" s="6" t="s">
        <v>38</v>
      </c>
      <c r="L20" s="6" t="s">
        <v>39</v>
      </c>
      <c r="M20" s="6"/>
      <c r="N20" s="6" t="s">
        <v>40</v>
      </c>
      <c r="O20" s="6"/>
    </row>
    <row r="21" customFormat="false" ht="39.75" hidden="false" customHeight="true" outlineLevel="0" collapsed="false">
      <c r="B21" s="6" t="s">
        <v>41</v>
      </c>
      <c r="C21" s="4" t="s">
        <v>42</v>
      </c>
      <c r="D21" s="4"/>
      <c r="E21" s="4"/>
      <c r="F21" s="4"/>
      <c r="G21" s="4"/>
      <c r="H21" s="4"/>
      <c r="I21" s="6" t="s">
        <v>43</v>
      </c>
      <c r="J21" s="6"/>
      <c r="K21" s="6" t="s">
        <v>44</v>
      </c>
      <c r="L21" s="6" t="s">
        <v>39</v>
      </c>
      <c r="M21" s="6"/>
      <c r="N21" s="6" t="s">
        <v>45</v>
      </c>
      <c r="O21" s="6"/>
    </row>
    <row r="22" customFormat="false" ht="39.75" hidden="false" customHeight="true" outlineLevel="0" collapsed="false">
      <c r="B22" s="6" t="s">
        <v>46</v>
      </c>
      <c r="C22" s="4" t="s">
        <v>47</v>
      </c>
      <c r="D22" s="4"/>
      <c r="E22" s="4"/>
      <c r="F22" s="4"/>
      <c r="G22" s="4"/>
      <c r="H22" s="4"/>
      <c r="I22" s="6" t="s">
        <v>48</v>
      </c>
      <c r="J22" s="6"/>
      <c r="K22" s="6" t="s">
        <v>49</v>
      </c>
      <c r="L22" s="6" t="s">
        <v>50</v>
      </c>
      <c r="M22" s="6"/>
      <c r="N22" s="6" t="s">
        <v>51</v>
      </c>
      <c r="O22" s="6"/>
    </row>
    <row r="23" customFormat="false" ht="39.75" hidden="false" customHeight="true" outlineLevel="0" collapsed="false">
      <c r="B23" s="6" t="s">
        <v>52</v>
      </c>
      <c r="C23" s="4" t="s">
        <v>53</v>
      </c>
      <c r="D23" s="4"/>
      <c r="E23" s="4"/>
      <c r="F23" s="4"/>
      <c r="G23" s="4"/>
      <c r="H23" s="4"/>
      <c r="I23" s="6" t="s">
        <v>54</v>
      </c>
      <c r="J23" s="6"/>
      <c r="K23" s="6" t="s">
        <v>55</v>
      </c>
      <c r="L23" s="6" t="s">
        <v>56</v>
      </c>
      <c r="M23" s="6"/>
      <c r="N23" s="6" t="s">
        <v>57</v>
      </c>
      <c r="O23" s="6"/>
    </row>
    <row r="25" customFormat="false" ht="17.9" hidden="false" customHeight="true" outlineLevel="0" collapsed="false">
      <c r="B25" s="7" t="s">
        <v>58</v>
      </c>
      <c r="C25" s="7"/>
      <c r="D25" s="7"/>
      <c r="E25" s="7"/>
      <c r="F25" s="7"/>
      <c r="G25" s="7"/>
      <c r="H25" s="7"/>
      <c r="I25" s="7"/>
      <c r="J25" s="7"/>
      <c r="K25" s="7"/>
      <c r="L25" s="7"/>
      <c r="M25" s="7"/>
      <c r="N25" s="7"/>
      <c r="O25" s="7"/>
    </row>
    <row r="26" customFormat="false" ht="17.9" hidden="false" customHeight="true" outlineLevel="0" collapsed="false">
      <c r="B26" s="7" t="s">
        <v>59</v>
      </c>
      <c r="C26" s="7"/>
      <c r="D26" s="7"/>
      <c r="E26" s="7"/>
      <c r="F26" s="7"/>
      <c r="G26" s="7"/>
      <c r="H26" s="7"/>
      <c r="I26" s="7"/>
      <c r="J26" s="7"/>
      <c r="K26" s="7"/>
      <c r="L26" s="7"/>
      <c r="M26" s="7"/>
      <c r="N26" s="7"/>
      <c r="O26" s="7"/>
    </row>
    <row r="27" customFormat="false" ht="15" hidden="false" customHeight="true" outlineLevel="0" collapsed="false">
      <c r="B27" s="8" t="s">
        <v>60</v>
      </c>
      <c r="C27" s="8"/>
      <c r="D27" s="8"/>
      <c r="E27" s="8"/>
      <c r="F27" s="8"/>
      <c r="G27" s="8"/>
      <c r="H27" s="8"/>
      <c r="I27" s="8"/>
      <c r="J27" s="8"/>
      <c r="K27" s="8"/>
      <c r="L27" s="8"/>
      <c r="M27" s="8"/>
      <c r="N27" s="8"/>
      <c r="O27" s="8"/>
    </row>
    <row r="29" customFormat="false" ht="15" hidden="false" customHeight="false" outlineLevel="0" collapsed="false">
      <c r="B29" s="5" t="s">
        <v>61</v>
      </c>
      <c r="C29" s="5"/>
      <c r="D29" s="5"/>
      <c r="E29" s="5"/>
      <c r="F29" s="5"/>
      <c r="G29" s="5"/>
      <c r="H29" s="5"/>
      <c r="I29" s="5"/>
      <c r="J29" s="5"/>
      <c r="K29" s="5"/>
      <c r="L29" s="5"/>
      <c r="M29" s="5"/>
      <c r="N29" s="5"/>
      <c r="O29" s="5"/>
    </row>
    <row r="30" customFormat="false" ht="15" hidden="false" customHeight="true" outlineLevel="0" collapsed="false">
      <c r="B30" s="3" t="s">
        <v>29</v>
      </c>
      <c r="C30" s="3" t="s">
        <v>62</v>
      </c>
      <c r="D30" s="3"/>
      <c r="E30" s="3" t="s">
        <v>63</v>
      </c>
      <c r="F30" s="3"/>
      <c r="G30" s="3"/>
      <c r="H30" s="3"/>
      <c r="I30" s="3"/>
      <c r="J30" s="3"/>
      <c r="K30" s="3"/>
      <c r="L30" s="3"/>
      <c r="M30" s="3"/>
      <c r="N30" s="3"/>
      <c r="O30" s="3"/>
    </row>
    <row r="31" customFormat="false" ht="30" hidden="false" customHeight="true" outlineLevel="0" collapsed="false">
      <c r="B31" s="6" t="s">
        <v>64</v>
      </c>
      <c r="C31" s="4" t="s">
        <v>50</v>
      </c>
      <c r="D31" s="4"/>
      <c r="E31" s="4" t="s">
        <v>65</v>
      </c>
      <c r="F31" s="4"/>
      <c r="G31" s="4"/>
      <c r="H31" s="4"/>
      <c r="I31" s="4"/>
      <c r="J31" s="4"/>
      <c r="K31" s="4"/>
      <c r="L31" s="4"/>
      <c r="M31" s="4"/>
      <c r="N31" s="4"/>
      <c r="O31" s="4"/>
    </row>
    <row r="32" customFormat="false" ht="30" hidden="false" customHeight="true" outlineLevel="0" collapsed="false">
      <c r="B32" s="6" t="s">
        <v>66</v>
      </c>
      <c r="C32" s="4" t="s">
        <v>56</v>
      </c>
      <c r="D32" s="4"/>
      <c r="E32" s="4" t="s">
        <v>67</v>
      </c>
      <c r="F32" s="4"/>
      <c r="G32" s="4"/>
      <c r="H32" s="4"/>
      <c r="I32" s="4"/>
      <c r="J32" s="4"/>
      <c r="K32" s="4"/>
      <c r="L32" s="4"/>
      <c r="M32" s="4"/>
      <c r="N32" s="4"/>
      <c r="O32" s="4"/>
    </row>
    <row r="34" customFormat="false" ht="15" hidden="false" customHeight="false" outlineLevel="0" collapsed="false">
      <c r="B34" s="5" t="s">
        <v>68</v>
      </c>
      <c r="C34" s="5"/>
      <c r="D34" s="5"/>
      <c r="E34" s="5"/>
      <c r="F34" s="5"/>
      <c r="G34" s="5"/>
      <c r="H34" s="5"/>
      <c r="I34" s="5"/>
      <c r="J34" s="5"/>
      <c r="K34" s="5"/>
      <c r="L34" s="5"/>
      <c r="M34" s="5"/>
      <c r="N34" s="5"/>
      <c r="O34" s="5"/>
    </row>
    <row r="35" customFormat="false" ht="15" hidden="false" customHeight="true" outlineLevel="0" collapsed="false">
      <c r="B35" s="4" t="s">
        <v>69</v>
      </c>
      <c r="C35" s="4"/>
      <c r="D35" s="4"/>
      <c r="E35" s="4"/>
      <c r="F35" s="4"/>
      <c r="G35" s="4"/>
      <c r="H35" s="4"/>
      <c r="I35" s="4"/>
      <c r="J35" s="4"/>
      <c r="K35" s="4"/>
      <c r="L35" s="4"/>
      <c r="M35" s="4"/>
      <c r="N35" s="4"/>
      <c r="O35" s="4"/>
    </row>
    <row r="36" customFormat="false" ht="15" hidden="false" customHeight="false" outlineLevel="0" collapsed="false">
      <c r="B36" s="4"/>
      <c r="C36" s="4"/>
      <c r="D36" s="4"/>
      <c r="E36" s="4"/>
      <c r="F36" s="4"/>
      <c r="G36" s="4"/>
      <c r="H36" s="4"/>
      <c r="I36" s="4"/>
      <c r="J36" s="4"/>
      <c r="K36" s="4"/>
      <c r="L36" s="4"/>
      <c r="M36" s="4"/>
      <c r="N36" s="4"/>
      <c r="O36" s="4"/>
    </row>
    <row r="37" customFormat="false" ht="15" hidden="false" customHeight="false" outlineLevel="0" collapsed="false">
      <c r="B37" s="4"/>
      <c r="C37" s="4"/>
      <c r="D37" s="4"/>
      <c r="E37" s="4"/>
      <c r="F37" s="4"/>
      <c r="G37" s="4"/>
      <c r="H37" s="4"/>
      <c r="I37" s="4"/>
      <c r="J37" s="4"/>
      <c r="K37" s="4"/>
      <c r="L37" s="4"/>
      <c r="M37" s="4"/>
      <c r="N37" s="4"/>
      <c r="O37" s="4"/>
    </row>
    <row r="38" customFormat="false" ht="15" hidden="false" customHeight="false" outlineLevel="0" collapsed="false">
      <c r="B38" s="5" t="s">
        <v>70</v>
      </c>
      <c r="C38" s="5"/>
      <c r="D38" s="5"/>
      <c r="E38" s="5"/>
      <c r="F38" s="5"/>
      <c r="G38" s="5"/>
      <c r="H38" s="5"/>
      <c r="I38" s="5"/>
      <c r="J38" s="5"/>
      <c r="K38" s="5"/>
      <c r="L38" s="5"/>
      <c r="M38" s="5"/>
      <c r="N38" s="5"/>
      <c r="O38" s="5"/>
    </row>
    <row r="39" customFormat="false" ht="15" hidden="false" customHeight="true" outlineLevel="0" collapsed="false">
      <c r="B39" s="9" t="s">
        <v>71</v>
      </c>
      <c r="C39" s="9" t="s">
        <v>72</v>
      </c>
      <c r="D39" s="9" t="s">
        <v>30</v>
      </c>
      <c r="E39" s="9" t="s">
        <v>73</v>
      </c>
      <c r="F39" s="9"/>
      <c r="G39" s="9"/>
      <c r="H39" s="9"/>
      <c r="I39" s="9"/>
      <c r="J39" s="9"/>
      <c r="K39" s="9"/>
      <c r="L39" s="9"/>
      <c r="M39" s="9" t="s">
        <v>74</v>
      </c>
      <c r="N39" s="9"/>
      <c r="O39" s="9" t="s">
        <v>75</v>
      </c>
    </row>
    <row r="40" customFormat="false" ht="15" hidden="false" customHeight="true" outlineLevel="0" collapsed="false">
      <c r="B40" s="9"/>
      <c r="C40" s="9"/>
      <c r="D40" s="9"/>
      <c r="E40" s="9" t="s">
        <v>76</v>
      </c>
      <c r="F40" s="9"/>
      <c r="G40" s="9"/>
      <c r="H40" s="9"/>
      <c r="I40" s="9" t="s">
        <v>77</v>
      </c>
      <c r="J40" s="9"/>
      <c r="K40" s="9"/>
      <c r="L40" s="9"/>
      <c r="M40" s="9"/>
      <c r="N40" s="9"/>
      <c r="O40" s="9"/>
    </row>
    <row r="41" customFormat="false" ht="20.85" hidden="false" customHeight="false" outlineLevel="0" collapsed="false">
      <c r="B41" s="9"/>
      <c r="C41" s="9"/>
      <c r="D41" s="9"/>
      <c r="E41" s="9" t="s">
        <v>51</v>
      </c>
      <c r="F41" s="9" t="s">
        <v>78</v>
      </c>
      <c r="G41" s="9" t="s">
        <v>79</v>
      </c>
      <c r="H41" s="9" t="s">
        <v>80</v>
      </c>
      <c r="I41" s="9" t="s">
        <v>51</v>
      </c>
      <c r="J41" s="9" t="s">
        <v>78</v>
      </c>
      <c r="K41" s="9" t="s">
        <v>79</v>
      </c>
      <c r="L41" s="9" t="s">
        <v>80</v>
      </c>
      <c r="M41" s="9" t="s">
        <v>81</v>
      </c>
      <c r="N41" s="9" t="s">
        <v>82</v>
      </c>
      <c r="O41" s="9"/>
    </row>
    <row r="42" customFormat="false" ht="42" hidden="false" customHeight="true" outlineLevel="0" collapsed="false">
      <c r="B42" s="6" t="s">
        <v>83</v>
      </c>
      <c r="C42" s="4" t="s">
        <v>84</v>
      </c>
      <c r="D42" s="6" t="s">
        <v>35</v>
      </c>
      <c r="E42" s="6"/>
      <c r="F42" s="6"/>
      <c r="G42" s="6"/>
      <c r="H42" s="6"/>
      <c r="I42" s="6" t="n">
        <v>3</v>
      </c>
      <c r="J42" s="6"/>
      <c r="K42" s="6"/>
      <c r="L42" s="6"/>
      <c r="M42" s="6"/>
      <c r="N42" s="6" t="n">
        <v>1</v>
      </c>
      <c r="O42" s="10" t="n">
        <f aca="false">SUM(E42:N42)</f>
        <v>4</v>
      </c>
    </row>
    <row r="43" customFormat="false" ht="42" hidden="false" customHeight="true" outlineLevel="0" collapsed="false">
      <c r="B43" s="6" t="s">
        <v>85</v>
      </c>
      <c r="C43" s="4" t="s">
        <v>86</v>
      </c>
      <c r="D43" s="6" t="s">
        <v>35</v>
      </c>
      <c r="E43" s="6" t="n">
        <v>2</v>
      </c>
      <c r="F43" s="6"/>
      <c r="G43" s="6" t="n">
        <v>1</v>
      </c>
      <c r="H43" s="6"/>
      <c r="I43" s="6"/>
      <c r="J43" s="6"/>
      <c r="K43" s="6"/>
      <c r="L43" s="6"/>
      <c r="M43" s="6"/>
      <c r="N43" s="6" t="n">
        <v>1</v>
      </c>
      <c r="O43" s="10" t="n">
        <f aca="false">SUM(E43:N43)</f>
        <v>4</v>
      </c>
    </row>
    <row r="44" customFormat="false" ht="42" hidden="false" customHeight="true" outlineLevel="0" collapsed="false">
      <c r="B44" s="6" t="s">
        <v>87</v>
      </c>
      <c r="C44" s="4" t="s">
        <v>88</v>
      </c>
      <c r="D44" s="6" t="s">
        <v>35</v>
      </c>
      <c r="E44" s="6" t="n">
        <v>2</v>
      </c>
      <c r="F44" s="6"/>
      <c r="G44" s="6" t="n">
        <v>1</v>
      </c>
      <c r="H44" s="6"/>
      <c r="I44" s="6"/>
      <c r="J44" s="6"/>
      <c r="K44" s="6"/>
      <c r="L44" s="6"/>
      <c r="M44" s="6" t="n">
        <v>1</v>
      </c>
      <c r="N44" s="6" t="n">
        <v>2</v>
      </c>
      <c r="O44" s="10" t="n">
        <f aca="false">SUM(E44:N44)</f>
        <v>6</v>
      </c>
    </row>
    <row r="45" customFormat="false" ht="42" hidden="false" customHeight="true" outlineLevel="0" collapsed="false">
      <c r="B45" s="6" t="s">
        <v>89</v>
      </c>
      <c r="C45" s="4" t="s">
        <v>90</v>
      </c>
      <c r="D45" s="6" t="s">
        <v>35</v>
      </c>
      <c r="E45" s="6" t="n">
        <v>2</v>
      </c>
      <c r="F45" s="6"/>
      <c r="G45" s="6" t="n">
        <v>1</v>
      </c>
      <c r="H45" s="6"/>
      <c r="I45" s="6"/>
      <c r="J45" s="6"/>
      <c r="K45" s="6"/>
      <c r="L45" s="6"/>
      <c r="M45" s="6"/>
      <c r="N45" s="6" t="n">
        <v>1</v>
      </c>
      <c r="O45" s="10" t="n">
        <f aca="false">SUM(E45:N45)</f>
        <v>4</v>
      </c>
    </row>
    <row r="46" customFormat="false" ht="42" hidden="false" customHeight="true" outlineLevel="0" collapsed="false">
      <c r="B46" s="6" t="s">
        <v>91</v>
      </c>
      <c r="C46" s="4" t="s">
        <v>92</v>
      </c>
      <c r="D46" s="6" t="s">
        <v>35</v>
      </c>
      <c r="E46" s="6" t="n">
        <v>2</v>
      </c>
      <c r="F46" s="6"/>
      <c r="G46" s="6" t="n">
        <v>1</v>
      </c>
      <c r="H46" s="6"/>
      <c r="I46" s="6"/>
      <c r="J46" s="6"/>
      <c r="K46" s="6"/>
      <c r="L46" s="6"/>
      <c r="M46" s="6"/>
      <c r="N46" s="6" t="n">
        <v>1</v>
      </c>
      <c r="O46" s="10" t="n">
        <f aca="false">SUM(E46:N46)</f>
        <v>4</v>
      </c>
    </row>
    <row r="47" customFormat="false" ht="42" hidden="false" customHeight="true" outlineLevel="0" collapsed="false">
      <c r="B47" s="6" t="s">
        <v>93</v>
      </c>
      <c r="C47" s="4" t="s">
        <v>94</v>
      </c>
      <c r="D47" s="6" t="s">
        <v>95</v>
      </c>
      <c r="E47" s="6" t="n">
        <v>2</v>
      </c>
      <c r="F47" s="6"/>
      <c r="G47" s="6" t="n">
        <v>1</v>
      </c>
      <c r="H47" s="6"/>
      <c r="I47" s="6"/>
      <c r="J47" s="6"/>
      <c r="K47" s="6"/>
      <c r="L47" s="6"/>
      <c r="M47" s="6" t="n">
        <v>1</v>
      </c>
      <c r="N47" s="6" t="n">
        <v>2</v>
      </c>
      <c r="O47" s="10" t="n">
        <f aca="false">SUM(E47:N47)</f>
        <v>6</v>
      </c>
    </row>
    <row r="48" customFormat="false" ht="42" hidden="false" customHeight="true" outlineLevel="0" collapsed="false">
      <c r="B48" s="6" t="s">
        <v>96</v>
      </c>
      <c r="C48" s="4" t="s">
        <v>97</v>
      </c>
      <c r="D48" s="6" t="s">
        <v>98</v>
      </c>
      <c r="E48" s="6" t="n">
        <v>2</v>
      </c>
      <c r="F48" s="6"/>
      <c r="G48" s="6" t="n">
        <v>1</v>
      </c>
      <c r="H48" s="6"/>
      <c r="I48" s="6"/>
      <c r="J48" s="6"/>
      <c r="K48" s="6"/>
      <c r="L48" s="6"/>
      <c r="M48" s="6"/>
      <c r="N48" s="6" t="n">
        <v>1</v>
      </c>
      <c r="O48" s="10" t="n">
        <f aca="false">SUM(E48:N48)</f>
        <v>4</v>
      </c>
    </row>
    <row r="49" customFormat="false" ht="42" hidden="false" customHeight="true" outlineLevel="0" collapsed="false">
      <c r="B49" s="6" t="s">
        <v>99</v>
      </c>
      <c r="C49" s="11" t="s">
        <v>100</v>
      </c>
      <c r="D49" s="6"/>
      <c r="E49" s="6"/>
      <c r="F49" s="6"/>
      <c r="G49" s="6"/>
      <c r="H49" s="6"/>
      <c r="I49" s="6"/>
      <c r="J49" s="6"/>
      <c r="K49" s="6"/>
      <c r="L49" s="6"/>
      <c r="M49" s="6"/>
      <c r="N49" s="6"/>
      <c r="O49" s="6"/>
    </row>
    <row r="50" customFormat="false" ht="42" hidden="false" customHeight="true" outlineLevel="0" collapsed="false">
      <c r="B50" s="6" t="s">
        <v>101</v>
      </c>
      <c r="C50" s="4" t="s">
        <v>102</v>
      </c>
      <c r="D50" s="6" t="s">
        <v>41</v>
      </c>
      <c r="E50" s="6" t="n">
        <v>2</v>
      </c>
      <c r="F50" s="6"/>
      <c r="G50" s="6" t="n">
        <v>1</v>
      </c>
      <c r="H50" s="6"/>
      <c r="I50" s="6"/>
      <c r="J50" s="6"/>
      <c r="K50" s="6"/>
      <c r="L50" s="6"/>
      <c r="M50" s="6" t="n">
        <v>1</v>
      </c>
      <c r="N50" s="6" t="n">
        <v>2</v>
      </c>
      <c r="O50" s="10" t="n">
        <f aca="false">SUM(E50:N50)</f>
        <v>6</v>
      </c>
    </row>
    <row r="51" customFormat="false" ht="42" hidden="false" customHeight="true" outlineLevel="0" collapsed="false">
      <c r="B51" s="6" t="s">
        <v>103</v>
      </c>
      <c r="C51" s="4" t="s">
        <v>104</v>
      </c>
      <c r="D51" s="6" t="s">
        <v>41</v>
      </c>
      <c r="E51" s="6" t="n">
        <v>2</v>
      </c>
      <c r="F51" s="6"/>
      <c r="G51" s="6" t="n">
        <v>1</v>
      </c>
      <c r="H51" s="6"/>
      <c r="I51" s="6"/>
      <c r="J51" s="6"/>
      <c r="K51" s="6"/>
      <c r="L51" s="6"/>
      <c r="M51" s="6" t="n">
        <v>1</v>
      </c>
      <c r="N51" s="6" t="n">
        <v>6</v>
      </c>
      <c r="O51" s="10" t="n">
        <f aca="false">SUM(E51:N51)</f>
        <v>10</v>
      </c>
    </row>
    <row r="52" customFormat="false" ht="42" hidden="false" customHeight="true" outlineLevel="0" collapsed="false">
      <c r="B52" s="6" t="s">
        <v>105</v>
      </c>
      <c r="C52" s="4" t="s">
        <v>106</v>
      </c>
      <c r="D52" s="6" t="s">
        <v>107</v>
      </c>
      <c r="E52" s="6" t="n">
        <v>2</v>
      </c>
      <c r="F52" s="6"/>
      <c r="G52" s="6" t="n">
        <v>1</v>
      </c>
      <c r="H52" s="6"/>
      <c r="I52" s="6"/>
      <c r="J52" s="6"/>
      <c r="K52" s="6"/>
      <c r="L52" s="6"/>
      <c r="M52" s="6"/>
      <c r="N52" s="6" t="n">
        <v>1</v>
      </c>
      <c r="O52" s="10" t="n">
        <f aca="false">SUM(E52:N52)</f>
        <v>4</v>
      </c>
    </row>
    <row r="53" customFormat="false" ht="42" hidden="false" customHeight="true" outlineLevel="0" collapsed="false">
      <c r="B53" s="6" t="s">
        <v>108</v>
      </c>
      <c r="C53" s="4" t="s">
        <v>109</v>
      </c>
      <c r="D53" s="6" t="s">
        <v>41</v>
      </c>
      <c r="E53" s="6" t="n">
        <v>2</v>
      </c>
      <c r="F53" s="6"/>
      <c r="G53" s="6" t="n">
        <v>1</v>
      </c>
      <c r="H53" s="6"/>
      <c r="I53" s="6"/>
      <c r="J53" s="6"/>
      <c r="K53" s="6"/>
      <c r="L53" s="6"/>
      <c r="M53" s="6" t="n">
        <v>1</v>
      </c>
      <c r="N53" s="6" t="n">
        <v>2</v>
      </c>
      <c r="O53" s="10" t="n">
        <f aca="false">SUM(E53:N53)</f>
        <v>6</v>
      </c>
    </row>
    <row r="54" customFormat="false" ht="42" hidden="false" customHeight="true" outlineLevel="0" collapsed="false">
      <c r="B54" s="6" t="s">
        <v>110</v>
      </c>
      <c r="C54" s="4" t="s">
        <v>111</v>
      </c>
      <c r="D54" s="6" t="s">
        <v>112</v>
      </c>
      <c r="E54" s="6" t="n">
        <v>2</v>
      </c>
      <c r="F54" s="6"/>
      <c r="G54" s="6" t="n">
        <v>1</v>
      </c>
      <c r="H54" s="6"/>
      <c r="I54" s="6"/>
      <c r="J54" s="6"/>
      <c r="K54" s="6"/>
      <c r="L54" s="6"/>
      <c r="M54" s="6"/>
      <c r="N54" s="6" t="n">
        <v>1</v>
      </c>
      <c r="O54" s="10" t="n">
        <f aca="false">SUM(E54:N54)</f>
        <v>4</v>
      </c>
    </row>
    <row r="55" customFormat="false" ht="42" hidden="false" customHeight="true" outlineLevel="0" collapsed="false">
      <c r="B55" s="6" t="s">
        <v>113</v>
      </c>
      <c r="C55" s="4" t="s">
        <v>114</v>
      </c>
      <c r="D55" s="6" t="s">
        <v>115</v>
      </c>
      <c r="E55" s="6" t="n">
        <v>2</v>
      </c>
      <c r="F55" s="6"/>
      <c r="G55" s="6" t="n">
        <v>1</v>
      </c>
      <c r="H55" s="6"/>
      <c r="I55" s="6"/>
      <c r="J55" s="6"/>
      <c r="K55" s="6"/>
      <c r="L55" s="6"/>
      <c r="M55" s="6"/>
      <c r="N55" s="6" t="n">
        <v>1</v>
      </c>
      <c r="O55" s="10" t="n">
        <f aca="false">SUM(E55:N55)</f>
        <v>4</v>
      </c>
    </row>
    <row r="56" customFormat="false" ht="42" hidden="false" customHeight="true" outlineLevel="0" collapsed="false">
      <c r="B56" s="6" t="s">
        <v>116</v>
      </c>
      <c r="C56" s="4" t="s">
        <v>117</v>
      </c>
      <c r="D56" s="6" t="s">
        <v>41</v>
      </c>
      <c r="E56" s="6" t="n">
        <v>2</v>
      </c>
      <c r="F56" s="6"/>
      <c r="G56" s="6" t="n">
        <v>1</v>
      </c>
      <c r="H56" s="6"/>
      <c r="I56" s="6"/>
      <c r="J56" s="6"/>
      <c r="K56" s="6"/>
      <c r="L56" s="6"/>
      <c r="M56" s="6" t="n">
        <v>1</v>
      </c>
      <c r="N56" s="6" t="n">
        <v>2</v>
      </c>
      <c r="O56" s="10" t="n">
        <f aca="false">SUM(E56:N56)</f>
        <v>6</v>
      </c>
    </row>
    <row r="57" customFormat="false" ht="15" hidden="false" customHeight="false" outlineLevel="0" collapsed="false">
      <c r="B57" s="12" t="s">
        <v>118</v>
      </c>
      <c r="C57" s="12"/>
      <c r="D57" s="12"/>
      <c r="E57" s="12"/>
      <c r="F57" s="12"/>
      <c r="G57" s="12"/>
      <c r="H57" s="12"/>
      <c r="I57" s="12"/>
      <c r="J57" s="12"/>
      <c r="K57" s="12"/>
      <c r="L57" s="12"/>
      <c r="M57" s="12"/>
      <c r="N57" s="12"/>
      <c r="O57" s="9" t="n">
        <f aca="false">SUM(O42:O56)</f>
        <v>72</v>
      </c>
    </row>
    <row r="59" customFormat="false" ht="15" hidden="false" customHeight="false" outlineLevel="0" collapsed="false">
      <c r="B59" s="5" t="s">
        <v>119</v>
      </c>
      <c r="C59" s="5"/>
      <c r="D59" s="5"/>
      <c r="E59" s="5"/>
      <c r="F59" s="5"/>
      <c r="G59" s="5"/>
      <c r="H59" s="5"/>
      <c r="I59" s="5"/>
      <c r="J59" s="5"/>
      <c r="K59" s="5"/>
      <c r="L59" s="5"/>
      <c r="M59" s="5"/>
      <c r="N59" s="5"/>
      <c r="O59" s="5"/>
    </row>
    <row r="60" customFormat="false" ht="20.85" hidden="false" customHeight="true" outlineLevel="0" collapsed="false">
      <c r="B60" s="3" t="s">
        <v>29</v>
      </c>
      <c r="C60" s="3" t="s">
        <v>120</v>
      </c>
      <c r="D60" s="3"/>
      <c r="E60" s="3"/>
      <c r="F60" s="3" t="s">
        <v>121</v>
      </c>
      <c r="G60" s="3"/>
      <c r="H60" s="3" t="s">
        <v>122</v>
      </c>
      <c r="I60" s="3"/>
      <c r="J60" s="3"/>
      <c r="K60" s="3" t="s">
        <v>123</v>
      </c>
      <c r="L60" s="3"/>
      <c r="M60" s="3" t="s">
        <v>82</v>
      </c>
      <c r="N60" s="3"/>
      <c r="O60" s="3" t="s">
        <v>124</v>
      </c>
    </row>
    <row r="61" customFormat="false" ht="15" hidden="false" customHeight="true" outlineLevel="0" collapsed="false">
      <c r="B61" s="6" t="s">
        <v>64</v>
      </c>
      <c r="C61" s="4" t="s">
        <v>125</v>
      </c>
      <c r="D61" s="4"/>
      <c r="E61" s="4"/>
      <c r="F61" s="13" t="n">
        <v>0.15</v>
      </c>
      <c r="G61" s="13"/>
      <c r="H61" s="6" t="n">
        <v>6</v>
      </c>
      <c r="I61" s="6"/>
      <c r="J61" s="6"/>
      <c r="K61" s="6" t="n">
        <v>3</v>
      </c>
      <c r="L61" s="6"/>
      <c r="M61" s="6" t="n">
        <v>6</v>
      </c>
      <c r="N61" s="6"/>
      <c r="O61" s="10" t="n">
        <f aca="false">H61+K61+M61</f>
        <v>15</v>
      </c>
    </row>
    <row r="62" customFormat="false" ht="15" hidden="false" customHeight="true" outlineLevel="0" collapsed="false">
      <c r="B62" s="6" t="s">
        <v>66</v>
      </c>
      <c r="C62" s="4" t="s">
        <v>126</v>
      </c>
      <c r="D62" s="4"/>
      <c r="E62" s="4"/>
      <c r="F62" s="13" t="n">
        <v>0.2</v>
      </c>
      <c r="G62" s="13"/>
      <c r="H62" s="6" t="n">
        <v>2</v>
      </c>
      <c r="I62" s="6"/>
      <c r="J62" s="6"/>
      <c r="K62" s="6"/>
      <c r="L62" s="6"/>
      <c r="M62" s="6" t="n">
        <v>4</v>
      </c>
      <c r="N62" s="6"/>
      <c r="O62" s="10" t="n">
        <f aca="false">H62+K62+M62</f>
        <v>6</v>
      </c>
    </row>
    <row r="63" customFormat="false" ht="15" hidden="false" customHeight="true" outlineLevel="0" collapsed="false">
      <c r="B63" s="6" t="s">
        <v>15</v>
      </c>
      <c r="C63" s="4" t="s">
        <v>127</v>
      </c>
      <c r="D63" s="4"/>
      <c r="E63" s="4"/>
      <c r="F63" s="13" t="n">
        <v>0.2</v>
      </c>
      <c r="G63" s="13"/>
      <c r="H63" s="6" t="n">
        <v>2</v>
      </c>
      <c r="I63" s="6"/>
      <c r="J63" s="6"/>
      <c r="K63" s="6"/>
      <c r="L63" s="6"/>
      <c r="M63" s="6" t="n">
        <v>4</v>
      </c>
      <c r="N63" s="6"/>
      <c r="O63" s="10" t="n">
        <f aca="false">H63+K63+M63</f>
        <v>6</v>
      </c>
    </row>
    <row r="64" customFormat="false" ht="15" hidden="false" customHeight="true" outlineLevel="0" collapsed="false">
      <c r="B64" s="6" t="s">
        <v>128</v>
      </c>
      <c r="C64" s="4" t="s">
        <v>129</v>
      </c>
      <c r="D64" s="4"/>
      <c r="E64" s="4"/>
      <c r="F64" s="13" t="n">
        <v>0.15</v>
      </c>
      <c r="G64" s="13"/>
      <c r="H64" s="6" t="n">
        <v>6</v>
      </c>
      <c r="I64" s="6"/>
      <c r="J64" s="6"/>
      <c r="K64" s="6" t="n">
        <v>1</v>
      </c>
      <c r="L64" s="6"/>
      <c r="M64" s="6" t="n">
        <v>5</v>
      </c>
      <c r="N64" s="6"/>
      <c r="O64" s="10" t="n">
        <f aca="false">H64+K64+M64</f>
        <v>12</v>
      </c>
    </row>
    <row r="65" customFormat="false" ht="15" hidden="false" customHeight="false" outlineLevel="0" collapsed="false">
      <c r="B65" s="12" t="s">
        <v>118</v>
      </c>
      <c r="C65" s="12"/>
      <c r="D65" s="12"/>
      <c r="E65" s="12"/>
      <c r="F65" s="12"/>
      <c r="G65" s="12"/>
      <c r="H65" s="12"/>
      <c r="I65" s="12"/>
      <c r="J65" s="12"/>
      <c r="K65" s="12"/>
      <c r="L65" s="12"/>
      <c r="M65" s="12"/>
      <c r="N65" s="12"/>
      <c r="O65" s="9" t="n">
        <f aca="false">SUM(O61:O64)</f>
        <v>39</v>
      </c>
    </row>
    <row r="67" customFormat="false" ht="15" hidden="false" customHeight="false" outlineLevel="0" collapsed="false">
      <c r="B67" s="5" t="s">
        <v>130</v>
      </c>
      <c r="C67" s="5"/>
      <c r="D67" s="5"/>
      <c r="E67" s="5"/>
      <c r="F67" s="5"/>
      <c r="G67" s="5"/>
      <c r="H67" s="5"/>
      <c r="I67" s="5"/>
      <c r="J67" s="5"/>
      <c r="K67" s="5"/>
      <c r="L67" s="5"/>
      <c r="M67" s="5"/>
      <c r="N67" s="5"/>
      <c r="O67" s="5"/>
    </row>
    <row r="68" customFormat="false" ht="20.85" hidden="false" customHeight="true" outlineLevel="0" collapsed="false">
      <c r="B68" s="3" t="s">
        <v>29</v>
      </c>
      <c r="C68" s="3" t="s">
        <v>131</v>
      </c>
      <c r="D68" s="3"/>
      <c r="E68" s="3"/>
      <c r="F68" s="3" t="s">
        <v>121</v>
      </c>
      <c r="G68" s="3"/>
      <c r="H68" s="3" t="s">
        <v>122</v>
      </c>
      <c r="I68" s="3"/>
      <c r="J68" s="3"/>
      <c r="K68" s="3" t="s">
        <v>123</v>
      </c>
      <c r="L68" s="3"/>
      <c r="M68" s="3" t="s">
        <v>82</v>
      </c>
      <c r="N68" s="3"/>
      <c r="O68" s="3" t="s">
        <v>124</v>
      </c>
    </row>
    <row r="69" customFormat="false" ht="15" hidden="false" customHeight="true" outlineLevel="0" collapsed="false">
      <c r="B69" s="6" t="s">
        <v>64</v>
      </c>
      <c r="C69" s="4" t="s">
        <v>132</v>
      </c>
      <c r="D69" s="4"/>
      <c r="E69" s="4"/>
      <c r="F69" s="13" t="n">
        <v>0.3</v>
      </c>
      <c r="G69" s="13"/>
      <c r="H69" s="6" t="n">
        <v>3</v>
      </c>
      <c r="I69" s="6"/>
      <c r="J69" s="6"/>
      <c r="K69" s="6"/>
      <c r="L69" s="6"/>
      <c r="M69" s="6" t="n">
        <v>6</v>
      </c>
      <c r="N69" s="6"/>
      <c r="O69" s="10" t="n">
        <f aca="false">H69+K69+M69</f>
        <v>9</v>
      </c>
    </row>
    <row r="70" customFormat="false" ht="15" hidden="false" customHeight="false" outlineLevel="0" collapsed="false">
      <c r="B70" s="12" t="s">
        <v>118</v>
      </c>
      <c r="C70" s="12"/>
      <c r="D70" s="12"/>
      <c r="E70" s="12"/>
      <c r="F70" s="12"/>
      <c r="G70" s="12"/>
      <c r="H70" s="12"/>
      <c r="I70" s="12"/>
      <c r="J70" s="12"/>
      <c r="K70" s="12"/>
      <c r="L70" s="12"/>
      <c r="M70" s="12"/>
      <c r="N70" s="12"/>
      <c r="O70" s="9" t="n">
        <f aca="false">O69</f>
        <v>9</v>
      </c>
    </row>
    <row r="71" customFormat="false" ht="15" hidden="false" customHeight="false" outlineLevel="0" collapsed="false">
      <c r="B71" s="12" t="s">
        <v>133</v>
      </c>
      <c r="C71" s="12"/>
      <c r="D71" s="12"/>
      <c r="E71" s="12"/>
      <c r="F71" s="12"/>
      <c r="G71" s="12"/>
      <c r="H71" s="12"/>
      <c r="I71" s="12"/>
      <c r="J71" s="12"/>
      <c r="K71" s="12"/>
      <c r="L71" s="12"/>
      <c r="M71" s="12"/>
      <c r="N71" s="12"/>
      <c r="O71" s="9" t="n">
        <f aca="false">O65+O70</f>
        <v>48</v>
      </c>
    </row>
    <row r="72" customFormat="false" ht="15" hidden="false" customHeight="false" outlineLevel="0" collapsed="false">
      <c r="B72" s="12" t="s">
        <v>134</v>
      </c>
      <c r="C72" s="12"/>
      <c r="D72" s="12"/>
      <c r="E72" s="12"/>
      <c r="F72" s="12"/>
      <c r="G72" s="12"/>
      <c r="H72" s="12"/>
      <c r="I72" s="12"/>
      <c r="J72" s="12"/>
      <c r="K72" s="12"/>
      <c r="L72" s="12"/>
      <c r="M72" s="12"/>
      <c r="N72" s="12"/>
      <c r="O72" s="9" t="n">
        <f aca="false">O57+O71</f>
        <v>120</v>
      </c>
    </row>
    <row r="74" customFormat="false" ht="15" hidden="false" customHeight="true" outlineLevel="0" collapsed="false">
      <c r="B74" s="3" t="s">
        <v>135</v>
      </c>
      <c r="C74" s="4" t="s">
        <v>136</v>
      </c>
      <c r="D74" s="4"/>
      <c r="E74" s="4"/>
      <c r="F74" s="4"/>
      <c r="G74" s="4"/>
      <c r="H74" s="4"/>
      <c r="I74" s="4"/>
      <c r="J74" s="4"/>
      <c r="K74" s="4"/>
      <c r="L74" s="4"/>
      <c r="M74" s="4"/>
      <c r="N74" s="14" t="n">
        <f aca="false">(SUM(E42:H56)+SUM(H61:J64)+H69)/O72</f>
        <v>0.483333333333333</v>
      </c>
      <c r="O74" s="14"/>
    </row>
    <row r="75" customFormat="false" ht="15" hidden="false" customHeight="true" outlineLevel="0" collapsed="false">
      <c r="B75" s="3" t="s">
        <v>137</v>
      </c>
      <c r="C75" s="4" t="s">
        <v>138</v>
      </c>
      <c r="D75" s="4"/>
      <c r="E75" s="4"/>
      <c r="F75" s="4"/>
      <c r="G75" s="4"/>
      <c r="H75" s="4"/>
      <c r="I75" s="4"/>
      <c r="J75" s="4"/>
      <c r="K75" s="4"/>
      <c r="L75" s="4"/>
      <c r="M75" s="4"/>
      <c r="N75" s="14" t="n">
        <f aca="false">1-(SUM(E42:H56)+SUM(H61:J64)+H69)/O72</f>
        <v>0.516666666666667</v>
      </c>
      <c r="O75" s="14"/>
    </row>
    <row r="76" customFormat="false" ht="15" hidden="false" customHeight="true" outlineLevel="0" collapsed="false">
      <c r="B76" s="3" t="s">
        <v>139</v>
      </c>
      <c r="C76" s="4" t="s">
        <v>140</v>
      </c>
      <c r="D76" s="4"/>
      <c r="E76" s="4"/>
      <c r="F76" s="4"/>
      <c r="G76" s="4"/>
      <c r="H76" s="4"/>
      <c r="I76" s="4"/>
      <c r="J76" s="4"/>
      <c r="K76" s="4"/>
      <c r="L76" s="4"/>
      <c r="M76" s="4"/>
      <c r="N76" s="14" t="n">
        <f aca="false">(SUM(I42:L56)+SUM(M42:M56)+SUM(K61:L64)+K69)/O72</f>
        <v>0.108333333333333</v>
      </c>
      <c r="O76" s="14"/>
    </row>
    <row r="77" customFormat="false" ht="15" hidden="false" customHeight="true" outlineLevel="0" collapsed="false">
      <c r="B77" s="3" t="s">
        <v>141</v>
      </c>
      <c r="C77" s="4" t="s">
        <v>142</v>
      </c>
      <c r="D77" s="4"/>
      <c r="E77" s="4"/>
      <c r="F77" s="4"/>
      <c r="G77" s="4"/>
      <c r="H77" s="4"/>
      <c r="I77" s="4"/>
      <c r="J77" s="4"/>
      <c r="K77" s="4"/>
      <c r="L77" s="4"/>
      <c r="M77" s="4"/>
      <c r="N77" s="14" t="n">
        <f aca="false">(SUM(G42:G56)+SUM(K42:K56))/O72</f>
        <v>0.108333333333333</v>
      </c>
      <c r="O77" s="14"/>
    </row>
    <row r="78" customFormat="false" ht="15" hidden="false" customHeight="true" outlineLevel="0" collapsed="false">
      <c r="B78" s="3" t="s">
        <v>143</v>
      </c>
      <c r="C78" s="4" t="s">
        <v>144</v>
      </c>
      <c r="D78" s="4"/>
      <c r="E78" s="4"/>
      <c r="F78" s="4"/>
      <c r="G78" s="4"/>
      <c r="H78" s="4"/>
      <c r="I78" s="4"/>
      <c r="J78" s="4"/>
      <c r="K78" s="4"/>
      <c r="L78" s="4"/>
      <c r="M78" s="4"/>
      <c r="N78" s="14" t="n">
        <f aca="false">SUM(G42:G56)/O72</f>
        <v>0.108333333333333</v>
      </c>
      <c r="O78" s="14"/>
    </row>
    <row r="79" customFormat="false" ht="15" hidden="false" customHeight="true" outlineLevel="0" collapsed="false">
      <c r="B79" s="3" t="s">
        <v>145</v>
      </c>
      <c r="C79" s="4" t="s">
        <v>146</v>
      </c>
      <c r="D79" s="4"/>
      <c r="E79" s="4"/>
      <c r="F79" s="4"/>
      <c r="G79" s="4"/>
      <c r="H79" s="4"/>
      <c r="I79" s="4"/>
      <c r="J79" s="4"/>
      <c r="K79" s="4"/>
      <c r="L79" s="4"/>
      <c r="M79" s="4"/>
      <c r="N79" s="14" t="n">
        <f aca="false">SUM(K42:K56)/O72</f>
        <v>0</v>
      </c>
      <c r="O79" s="14"/>
    </row>
    <row r="81" customFormat="false" ht="15" hidden="false" customHeight="true" outlineLevel="0" collapsed="false">
      <c r="B81" s="15" t="s">
        <v>147</v>
      </c>
      <c r="C81" s="15"/>
      <c r="D81" s="15"/>
      <c r="E81" s="15"/>
      <c r="F81" s="15"/>
      <c r="G81" s="15"/>
      <c r="H81" s="15"/>
      <c r="I81" s="15"/>
      <c r="J81" s="15"/>
      <c r="K81" s="15"/>
      <c r="L81" s="15"/>
      <c r="M81" s="15"/>
      <c r="N81" s="15"/>
      <c r="O81" s="15"/>
    </row>
    <row r="83" customFormat="false" ht="20.85" hidden="false" customHeight="true" outlineLevel="0" collapsed="false">
      <c r="B83" s="16" t="s">
        <v>148</v>
      </c>
      <c r="C83" s="16"/>
      <c r="D83" s="16"/>
      <c r="E83" s="16"/>
      <c r="F83" s="4" t="s">
        <v>149</v>
      </c>
      <c r="G83" s="4"/>
      <c r="H83" s="4"/>
      <c r="I83" s="4"/>
      <c r="J83" s="4"/>
      <c r="K83" s="4"/>
      <c r="L83" s="4"/>
      <c r="M83" s="4"/>
      <c r="N83" s="4"/>
      <c r="O83" s="4"/>
    </row>
    <row r="85" customFormat="false" ht="15" hidden="false" customHeight="false" outlineLevel="0" collapsed="false">
      <c r="B85" s="5" t="s">
        <v>150</v>
      </c>
      <c r="C85" s="5"/>
      <c r="D85" s="5"/>
      <c r="E85" s="5"/>
      <c r="F85" s="5"/>
      <c r="G85" s="5"/>
      <c r="H85" s="5"/>
      <c r="I85" s="5"/>
      <c r="J85" s="5"/>
      <c r="K85" s="5"/>
      <c r="L85" s="5"/>
      <c r="M85" s="5"/>
      <c r="N85" s="5"/>
      <c r="O85" s="5"/>
    </row>
    <row r="86" customFormat="false" ht="15" hidden="false" customHeight="true" outlineLevel="0" collapsed="false">
      <c r="B86" s="17" t="s">
        <v>151</v>
      </c>
      <c r="C86" s="17"/>
      <c r="D86" s="17"/>
      <c r="E86" s="17"/>
      <c r="F86" s="17"/>
      <c r="G86" s="17"/>
      <c r="H86" s="17"/>
      <c r="I86" s="17"/>
      <c r="J86" s="17"/>
      <c r="K86" s="17"/>
      <c r="L86" s="17"/>
      <c r="M86" s="17"/>
      <c r="N86" s="17"/>
      <c r="O86" s="17"/>
    </row>
    <row r="87" customFormat="false" ht="15" hidden="false" customHeight="true" outlineLevel="0" collapsed="false">
      <c r="B87" s="17" t="s">
        <v>152</v>
      </c>
      <c r="C87" s="17"/>
      <c r="D87" s="17"/>
      <c r="E87" s="17"/>
      <c r="F87" s="17"/>
      <c r="G87" s="17"/>
      <c r="H87" s="17"/>
      <c r="I87" s="17"/>
      <c r="J87" s="17"/>
      <c r="K87" s="17"/>
      <c r="L87" s="17"/>
      <c r="M87" s="17"/>
      <c r="N87" s="17"/>
      <c r="O87" s="17"/>
    </row>
    <row r="88" customFormat="false" ht="15" hidden="false" customHeight="true" outlineLevel="0" collapsed="false">
      <c r="B88" s="17" t="s">
        <v>153</v>
      </c>
      <c r="C88" s="17"/>
      <c r="D88" s="17"/>
      <c r="E88" s="17"/>
      <c r="F88" s="17"/>
      <c r="G88" s="17"/>
      <c r="H88" s="17"/>
      <c r="I88" s="17"/>
      <c r="J88" s="17"/>
      <c r="K88" s="17"/>
      <c r="L88" s="17"/>
      <c r="M88" s="17"/>
      <c r="N88" s="17"/>
      <c r="O88" s="17"/>
    </row>
    <row r="89" customFormat="false" ht="15" hidden="false" customHeight="true" outlineLevel="0" collapsed="false">
      <c r="B89" s="17" t="s">
        <v>154</v>
      </c>
      <c r="C89" s="17"/>
      <c r="D89" s="17"/>
      <c r="E89" s="17"/>
      <c r="F89" s="17"/>
      <c r="G89" s="17"/>
      <c r="H89" s="17"/>
      <c r="I89" s="17"/>
      <c r="J89" s="17"/>
      <c r="K89" s="17"/>
      <c r="L89" s="17"/>
      <c r="M89" s="17"/>
      <c r="N89" s="17"/>
      <c r="O89" s="17"/>
    </row>
    <row r="90" customFormat="false" ht="15" hidden="false" customHeight="true" outlineLevel="0" collapsed="false">
      <c r="B90" s="17" t="s">
        <v>155</v>
      </c>
      <c r="C90" s="17"/>
      <c r="D90" s="17"/>
      <c r="E90" s="17"/>
      <c r="F90" s="17"/>
      <c r="G90" s="17"/>
      <c r="H90" s="17"/>
      <c r="I90" s="17"/>
      <c r="J90" s="17"/>
      <c r="K90" s="17"/>
      <c r="L90" s="17"/>
      <c r="M90" s="17"/>
      <c r="N90" s="17"/>
      <c r="O90" s="17"/>
    </row>
    <row r="92" customFormat="false" ht="15" hidden="false" customHeight="false" outlineLevel="0" collapsed="false">
      <c r="B92" s="5" t="s">
        <v>156</v>
      </c>
      <c r="C92" s="5"/>
      <c r="D92" s="5"/>
      <c r="E92" s="5"/>
      <c r="F92" s="5"/>
      <c r="G92" s="5"/>
      <c r="H92" s="5"/>
      <c r="I92" s="5"/>
      <c r="J92" s="5"/>
      <c r="K92" s="5"/>
      <c r="L92" s="5"/>
      <c r="M92" s="5"/>
      <c r="N92" s="5"/>
      <c r="O92" s="5"/>
    </row>
    <row r="93" customFormat="false" ht="15" hidden="false" customHeight="true" outlineLevel="0" collapsed="false">
      <c r="B93" s="4" t="s">
        <v>157</v>
      </c>
      <c r="C93" s="4"/>
      <c r="D93" s="4"/>
      <c r="E93" s="4"/>
      <c r="F93" s="4"/>
      <c r="G93" s="4"/>
      <c r="H93" s="4"/>
      <c r="I93" s="4"/>
      <c r="J93" s="4"/>
      <c r="K93" s="4"/>
      <c r="L93" s="4"/>
      <c r="M93" s="4"/>
      <c r="N93" s="4"/>
      <c r="O93" s="4"/>
    </row>
    <row r="94" customFormat="false" ht="15" hidden="false" customHeight="false" outlineLevel="0" collapsed="false">
      <c r="B94" s="4"/>
      <c r="C94" s="4"/>
      <c r="D94" s="4"/>
      <c r="E94" s="4"/>
      <c r="F94" s="4"/>
      <c r="G94" s="4"/>
      <c r="H94" s="4"/>
      <c r="I94" s="4"/>
      <c r="J94" s="4"/>
      <c r="K94" s="4"/>
      <c r="L94" s="4"/>
      <c r="M94" s="4"/>
      <c r="N94" s="4"/>
      <c r="O94" s="4"/>
    </row>
    <row r="95" customFormat="false" ht="15" hidden="false" customHeight="false" outlineLevel="0" collapsed="false">
      <c r="B95" s="4"/>
      <c r="C95" s="4"/>
      <c r="D95" s="4"/>
      <c r="E95" s="4"/>
      <c r="F95" s="4"/>
      <c r="G95" s="4"/>
      <c r="H95" s="4"/>
      <c r="I95" s="4"/>
      <c r="J95" s="4"/>
      <c r="K95" s="4"/>
      <c r="L95" s="4"/>
      <c r="M95" s="4"/>
      <c r="N95" s="4"/>
      <c r="O95" s="4"/>
    </row>
    <row r="96" customFormat="false" ht="15" hidden="false" customHeight="false" outlineLevel="0" collapsed="false">
      <c r="B96" s="5" t="s">
        <v>158</v>
      </c>
      <c r="C96" s="5"/>
      <c r="D96" s="5"/>
      <c r="E96" s="5"/>
      <c r="F96" s="5"/>
      <c r="G96" s="5"/>
      <c r="H96" s="5"/>
      <c r="I96" s="5"/>
      <c r="J96" s="5"/>
      <c r="K96" s="5"/>
      <c r="L96" s="5"/>
      <c r="M96" s="5"/>
      <c r="N96" s="5"/>
      <c r="O96" s="5"/>
    </row>
    <row r="97" customFormat="false" ht="15" hidden="false" customHeight="true" outlineLevel="0" collapsed="false">
      <c r="B97" s="4" t="s">
        <v>159</v>
      </c>
      <c r="C97" s="4"/>
      <c r="D97" s="4"/>
      <c r="E97" s="4"/>
      <c r="F97" s="4"/>
      <c r="G97" s="4"/>
      <c r="H97" s="4"/>
      <c r="I97" s="4"/>
      <c r="J97" s="4"/>
      <c r="K97" s="4"/>
      <c r="L97" s="4"/>
      <c r="M97" s="4"/>
      <c r="N97" s="4"/>
      <c r="O97" s="4"/>
    </row>
    <row r="98" customFormat="false" ht="15" hidden="false" customHeight="false" outlineLevel="0" collapsed="false">
      <c r="B98" s="4"/>
      <c r="C98" s="4"/>
      <c r="D98" s="4"/>
      <c r="E98" s="4"/>
      <c r="F98" s="4"/>
      <c r="G98" s="4"/>
      <c r="H98" s="4"/>
      <c r="I98" s="4"/>
      <c r="J98" s="4"/>
      <c r="K98" s="4"/>
      <c r="L98" s="4"/>
      <c r="M98" s="4"/>
      <c r="N98" s="4"/>
      <c r="O98" s="4"/>
    </row>
    <row r="99" customFormat="false" ht="15" hidden="false" customHeight="false" outlineLevel="0" collapsed="false">
      <c r="B99" s="4"/>
      <c r="C99" s="4"/>
      <c r="D99" s="4"/>
      <c r="E99" s="4"/>
      <c r="F99" s="4"/>
      <c r="G99" s="4"/>
      <c r="H99" s="4"/>
      <c r="I99" s="4"/>
      <c r="J99" s="4"/>
      <c r="K99" s="4"/>
      <c r="L99" s="4"/>
      <c r="M99" s="4"/>
      <c r="N99" s="4"/>
      <c r="O99" s="4"/>
    </row>
    <row r="100" customFormat="false" ht="15" hidden="false" customHeight="false" outlineLevel="0" collapsed="false">
      <c r="B100" s="4"/>
      <c r="C100" s="4"/>
      <c r="D100" s="4"/>
      <c r="E100" s="4"/>
      <c r="F100" s="4"/>
      <c r="G100" s="4"/>
      <c r="H100" s="4"/>
      <c r="I100" s="4"/>
      <c r="J100" s="4"/>
      <c r="K100" s="4"/>
      <c r="L100" s="4"/>
      <c r="M100" s="4"/>
      <c r="N100" s="4"/>
      <c r="O100" s="4"/>
    </row>
    <row r="101" customFormat="false" ht="15" hidden="false" customHeight="false" outlineLevel="0" collapsed="false">
      <c r="B101" s="4"/>
      <c r="C101" s="4"/>
      <c r="D101" s="4"/>
      <c r="E101" s="4"/>
      <c r="F101" s="4"/>
      <c r="G101" s="4"/>
      <c r="H101" s="4"/>
      <c r="I101" s="4"/>
      <c r="J101" s="4"/>
      <c r="K101" s="4"/>
      <c r="L101" s="4"/>
      <c r="M101" s="4"/>
      <c r="N101" s="4"/>
      <c r="O101" s="4"/>
    </row>
    <row r="102" customFormat="false" ht="15" hidden="false" customHeight="false" outlineLevel="0" collapsed="false">
      <c r="B102" s="4"/>
      <c r="C102" s="4"/>
      <c r="D102" s="4"/>
      <c r="E102" s="4"/>
      <c r="F102" s="4"/>
      <c r="G102" s="4"/>
      <c r="H102" s="4"/>
      <c r="I102" s="4"/>
      <c r="J102" s="4"/>
      <c r="K102" s="4"/>
      <c r="L102" s="4"/>
      <c r="M102" s="4"/>
      <c r="N102" s="4"/>
      <c r="O102" s="4"/>
    </row>
    <row r="103" customFormat="false" ht="15" hidden="false" customHeight="false" outlineLevel="0" collapsed="false">
      <c r="B103" s="5" t="s">
        <v>160</v>
      </c>
      <c r="C103" s="5"/>
      <c r="D103" s="5"/>
      <c r="E103" s="5"/>
      <c r="F103" s="5"/>
      <c r="G103" s="5"/>
      <c r="H103" s="5"/>
      <c r="I103" s="5"/>
      <c r="J103" s="5"/>
      <c r="K103" s="5"/>
      <c r="L103" s="5"/>
      <c r="M103" s="5"/>
      <c r="N103" s="5"/>
      <c r="O103" s="5"/>
    </row>
    <row r="104" customFormat="false" ht="15" hidden="false" customHeight="true" outlineLevel="0" collapsed="false">
      <c r="B104" s="4" t="s">
        <v>161</v>
      </c>
      <c r="C104" s="4"/>
      <c r="D104" s="4"/>
      <c r="E104" s="4"/>
      <c r="F104" s="4"/>
      <c r="G104" s="4"/>
      <c r="H104" s="4"/>
      <c r="I104" s="4"/>
      <c r="J104" s="4"/>
      <c r="K104" s="4"/>
      <c r="L104" s="4"/>
      <c r="M104" s="4"/>
      <c r="N104" s="4"/>
      <c r="O104" s="4"/>
    </row>
    <row r="105" customFormat="false" ht="15" hidden="false" customHeight="false" outlineLevel="0" collapsed="false">
      <c r="B105" s="4"/>
      <c r="C105" s="4"/>
      <c r="D105" s="4"/>
      <c r="E105" s="4"/>
      <c r="F105" s="4"/>
      <c r="G105" s="4"/>
      <c r="H105" s="4"/>
      <c r="I105" s="4"/>
      <c r="J105" s="4"/>
      <c r="K105" s="4"/>
      <c r="L105" s="4"/>
      <c r="M105" s="4"/>
      <c r="N105" s="4"/>
      <c r="O105" s="4"/>
    </row>
    <row r="106" customFormat="false" ht="15" hidden="false" customHeight="false" outlineLevel="0" collapsed="false">
      <c r="B106" s="4"/>
      <c r="C106" s="4"/>
      <c r="D106" s="4"/>
      <c r="E106" s="4"/>
      <c r="F106" s="4"/>
      <c r="G106" s="4"/>
      <c r="H106" s="4"/>
      <c r="I106" s="4"/>
      <c r="J106" s="4"/>
      <c r="K106" s="4"/>
      <c r="L106" s="4"/>
      <c r="M106" s="4"/>
      <c r="N106" s="4"/>
      <c r="O106" s="4"/>
    </row>
    <row r="107" customFormat="false" ht="15" hidden="false" customHeight="true" outlineLevel="0" collapsed="false">
      <c r="B107" s="18" t="s">
        <v>162</v>
      </c>
      <c r="C107" s="18"/>
      <c r="D107" s="18"/>
      <c r="E107" s="18"/>
      <c r="F107" s="18"/>
      <c r="G107" s="18"/>
      <c r="H107" s="18"/>
      <c r="I107" s="18"/>
      <c r="J107" s="18"/>
      <c r="K107" s="18"/>
      <c r="L107" s="18"/>
      <c r="M107" s="18"/>
      <c r="N107" s="18"/>
      <c r="O107" s="18"/>
    </row>
    <row r="108" customFormat="false" ht="15" hidden="false" customHeight="true" outlineLevel="0" collapsed="false">
      <c r="B108" s="18" t="s">
        <v>163</v>
      </c>
      <c r="C108" s="18"/>
      <c r="D108" s="18"/>
      <c r="E108" s="18"/>
      <c r="F108" s="18"/>
      <c r="G108" s="18"/>
      <c r="H108" s="18"/>
      <c r="I108" s="18"/>
      <c r="J108" s="18"/>
      <c r="K108" s="18"/>
      <c r="L108" s="18"/>
      <c r="M108" s="18"/>
      <c r="N108" s="18"/>
      <c r="O108" s="18"/>
    </row>
    <row r="109" customFormat="false" ht="15" hidden="false" customHeight="true" outlineLevel="0" collapsed="false">
      <c r="B109" s="18" t="s">
        <v>164</v>
      </c>
      <c r="C109" s="18"/>
      <c r="D109" s="18"/>
      <c r="E109" s="18"/>
      <c r="F109" s="18"/>
      <c r="G109" s="18"/>
      <c r="H109" s="18"/>
      <c r="I109" s="18"/>
      <c r="J109" s="18"/>
      <c r="K109" s="18"/>
      <c r="L109" s="18"/>
      <c r="M109" s="18"/>
      <c r="N109" s="18"/>
      <c r="O109" s="18"/>
    </row>
    <row r="111" customFormat="false" ht="15" hidden="false" customHeight="true" outlineLevel="0" collapsed="false">
      <c r="B111" s="3" t="s">
        <v>165</v>
      </c>
      <c r="C111" s="3"/>
      <c r="D111" s="3"/>
      <c r="E111" s="3"/>
      <c r="F111" s="3"/>
      <c r="G111" s="3"/>
      <c r="H111" s="3" t="s">
        <v>166</v>
      </c>
      <c r="I111" s="3"/>
      <c r="J111" s="3"/>
      <c r="K111" s="3"/>
      <c r="L111" s="3"/>
      <c r="M111" s="3"/>
      <c r="N111" s="3"/>
      <c r="O111" s="3"/>
    </row>
    <row r="112" customFormat="false" ht="15" hidden="false" customHeight="true" outlineLevel="0" collapsed="false">
      <c r="B112" s="4" t="s">
        <v>167</v>
      </c>
      <c r="C112" s="4"/>
      <c r="D112" s="4"/>
      <c r="E112" s="4"/>
      <c r="F112" s="4"/>
      <c r="G112" s="4"/>
      <c r="H112" s="4" t="s">
        <v>168</v>
      </c>
      <c r="I112" s="4"/>
      <c r="J112" s="4"/>
      <c r="K112" s="4"/>
      <c r="L112" s="4"/>
      <c r="M112" s="4"/>
      <c r="N112" s="4"/>
      <c r="O112" s="4"/>
    </row>
    <row r="113" customFormat="false" ht="15" hidden="false" customHeight="true" outlineLevel="0" collapsed="false">
      <c r="B113" s="4" t="s">
        <v>169</v>
      </c>
      <c r="C113" s="4"/>
      <c r="D113" s="4"/>
      <c r="E113" s="4"/>
      <c r="F113" s="4"/>
      <c r="G113" s="4"/>
      <c r="H113" s="4" t="s">
        <v>169</v>
      </c>
      <c r="I113" s="4"/>
      <c r="J113" s="4"/>
      <c r="K113" s="4"/>
      <c r="L113" s="4"/>
      <c r="M113" s="4"/>
      <c r="N113" s="4"/>
      <c r="O113" s="4"/>
    </row>
    <row r="114" customFormat="false" ht="15" hidden="false" customHeight="true" outlineLevel="0" collapsed="false">
      <c r="B114" s="4" t="s">
        <v>170</v>
      </c>
      <c r="C114" s="4"/>
      <c r="D114" s="4"/>
      <c r="E114" s="4"/>
      <c r="F114" s="4"/>
      <c r="G114" s="4"/>
      <c r="H114" s="4" t="s">
        <v>170</v>
      </c>
      <c r="I114" s="4"/>
      <c r="J114" s="4"/>
      <c r="K114" s="4"/>
      <c r="L114" s="4"/>
      <c r="M114" s="4"/>
      <c r="N114" s="4"/>
      <c r="O114" s="4"/>
    </row>
  </sheetData>
  <mergeCells count="146">
    <mergeCell ref="B2:O2"/>
    <mergeCell ref="B3:O3"/>
    <mergeCell ref="C5:O5"/>
    <mergeCell ref="C6:O6"/>
    <mergeCell ref="C7:H7"/>
    <mergeCell ref="I7:J7"/>
    <mergeCell ref="K7:O7"/>
    <mergeCell ref="C8:H8"/>
    <mergeCell ref="I8:J8"/>
    <mergeCell ref="K8:O8"/>
    <mergeCell ref="C9:O9"/>
    <mergeCell ref="B10:B13"/>
    <mergeCell ref="C10:O13"/>
    <mergeCell ref="C14:O14"/>
    <mergeCell ref="B15:B16"/>
    <mergeCell ref="C15:F15"/>
    <mergeCell ref="G15:I15"/>
    <mergeCell ref="J15:K15"/>
    <mergeCell ref="L15:O15"/>
    <mergeCell ref="C16:F16"/>
    <mergeCell ref="G16:I16"/>
    <mergeCell ref="J16:K16"/>
    <mergeCell ref="L16:O16"/>
    <mergeCell ref="B18:O18"/>
    <mergeCell ref="C19:H19"/>
    <mergeCell ref="I19:J19"/>
    <mergeCell ref="L19:M19"/>
    <mergeCell ref="N19:O19"/>
    <mergeCell ref="C20:H20"/>
    <mergeCell ref="I20:J20"/>
    <mergeCell ref="L20:M20"/>
    <mergeCell ref="N20:O20"/>
    <mergeCell ref="C21:H21"/>
    <mergeCell ref="I21:J21"/>
    <mergeCell ref="L21:M21"/>
    <mergeCell ref="N21:O21"/>
    <mergeCell ref="C22:H22"/>
    <mergeCell ref="I22:J22"/>
    <mergeCell ref="L22:M22"/>
    <mergeCell ref="N22:O22"/>
    <mergeCell ref="C23:H23"/>
    <mergeCell ref="I23:J23"/>
    <mergeCell ref="L23:M23"/>
    <mergeCell ref="N23:O23"/>
    <mergeCell ref="B25:O25"/>
    <mergeCell ref="B26:O26"/>
    <mergeCell ref="B27:O27"/>
    <mergeCell ref="B29:O29"/>
    <mergeCell ref="C30:D30"/>
    <mergeCell ref="E30:O30"/>
    <mergeCell ref="C31:D31"/>
    <mergeCell ref="E31:O31"/>
    <mergeCell ref="C32:D32"/>
    <mergeCell ref="E32:O32"/>
    <mergeCell ref="B34:O34"/>
    <mergeCell ref="B35:O37"/>
    <mergeCell ref="B38:O38"/>
    <mergeCell ref="B39:B41"/>
    <mergeCell ref="C39:C41"/>
    <mergeCell ref="D39:D41"/>
    <mergeCell ref="E39:H39"/>
    <mergeCell ref="I39:L39"/>
    <mergeCell ref="M39:N40"/>
    <mergeCell ref="O39:O41"/>
    <mergeCell ref="E40:H40"/>
    <mergeCell ref="I40:L40"/>
    <mergeCell ref="B57:N57"/>
    <mergeCell ref="B59:O59"/>
    <mergeCell ref="C60:E60"/>
    <mergeCell ref="F60:G60"/>
    <mergeCell ref="H60:J60"/>
    <mergeCell ref="K60:L60"/>
    <mergeCell ref="M60:N60"/>
    <mergeCell ref="C61:E61"/>
    <mergeCell ref="F61:G61"/>
    <mergeCell ref="H61:J61"/>
    <mergeCell ref="K61:L61"/>
    <mergeCell ref="M61:N61"/>
    <mergeCell ref="C62:E62"/>
    <mergeCell ref="F62:G62"/>
    <mergeCell ref="H62:J62"/>
    <mergeCell ref="K62:L62"/>
    <mergeCell ref="M62:N62"/>
    <mergeCell ref="C63:E63"/>
    <mergeCell ref="F63:G63"/>
    <mergeCell ref="H63:J63"/>
    <mergeCell ref="K63:L63"/>
    <mergeCell ref="M63:N63"/>
    <mergeCell ref="C64:E64"/>
    <mergeCell ref="F64:G64"/>
    <mergeCell ref="H64:J64"/>
    <mergeCell ref="K64:L64"/>
    <mergeCell ref="M64:N64"/>
    <mergeCell ref="B65:N65"/>
    <mergeCell ref="B67:O67"/>
    <mergeCell ref="C68:E68"/>
    <mergeCell ref="F68:G68"/>
    <mergeCell ref="H68:J68"/>
    <mergeCell ref="K68:L68"/>
    <mergeCell ref="M68:N68"/>
    <mergeCell ref="C69:E69"/>
    <mergeCell ref="F69:G69"/>
    <mergeCell ref="H69:J69"/>
    <mergeCell ref="K69:L69"/>
    <mergeCell ref="M69:N69"/>
    <mergeCell ref="B70:N70"/>
    <mergeCell ref="B71:N71"/>
    <mergeCell ref="B72:N72"/>
    <mergeCell ref="C74:M74"/>
    <mergeCell ref="N74:O74"/>
    <mergeCell ref="C75:M75"/>
    <mergeCell ref="N75:O75"/>
    <mergeCell ref="C76:M76"/>
    <mergeCell ref="N76:O76"/>
    <mergeCell ref="C77:M77"/>
    <mergeCell ref="N77:O77"/>
    <mergeCell ref="C78:M78"/>
    <mergeCell ref="N78:O78"/>
    <mergeCell ref="C79:M79"/>
    <mergeCell ref="N79:O79"/>
    <mergeCell ref="B81:O81"/>
    <mergeCell ref="B83:E83"/>
    <mergeCell ref="F83:O83"/>
    <mergeCell ref="B85:O85"/>
    <mergeCell ref="B86:O86"/>
    <mergeCell ref="B87:O87"/>
    <mergeCell ref="B88:O88"/>
    <mergeCell ref="B89:O89"/>
    <mergeCell ref="B90:O90"/>
    <mergeCell ref="B92:O92"/>
    <mergeCell ref="B93:O95"/>
    <mergeCell ref="B96:O96"/>
    <mergeCell ref="B97:O102"/>
    <mergeCell ref="B103:O103"/>
    <mergeCell ref="B104:O106"/>
    <mergeCell ref="B107:O107"/>
    <mergeCell ref="B108:O108"/>
    <mergeCell ref="B109:O109"/>
    <mergeCell ref="B111:G111"/>
    <mergeCell ref="H111:O111"/>
    <mergeCell ref="B112:G112"/>
    <mergeCell ref="H112:O112"/>
    <mergeCell ref="B113:G113"/>
    <mergeCell ref="H113:O113"/>
    <mergeCell ref="B114:G114"/>
    <mergeCell ref="H114:O114"/>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2026-08-14T11:08:09Z</dcterms:created>
  <dc:creator>openpyxl</dc:creator>
  <dc:description/>
  <dc:language>en-US</dc:language>
  <cp:lastModifiedBy/>
  <dcterms:modified xsi:type="dcterms:W3CDTF">2026-08-14T11:08:09Z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